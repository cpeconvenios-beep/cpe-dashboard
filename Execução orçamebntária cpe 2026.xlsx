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descentralizações" sheetId="1" r:id="rId5"/>
    <sheet state="visible" name="PROGRAMAÇÃO 83.20" sheetId="2" r:id="rId6"/>
    <sheet state="visible" name="PROGRAMAÇÃO 52.20" sheetId="3" r:id="rId7"/>
    <sheet state="visible" name="SUPERAVIT 73.10" sheetId="4" r:id="rId8"/>
    <sheet state="visible" name="CONTRATOS SERVIÇOS ESSENCIAIS" sheetId="5" r:id="rId9"/>
  </sheets>
  <definedNames/>
  <calcPr/>
</workbook>
</file>

<file path=xl/sharedStrings.xml><?xml version="1.0" encoding="utf-8"?>
<sst xmlns="http://schemas.openxmlformats.org/spreadsheetml/2006/main" count="691" uniqueCount="239">
  <si>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</si>
  <si>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CONTROLE DE DESCENTRALIZAÇÕES CPE- 2026</t>
  </si>
  <si>
    <t>DPRF - 73.10</t>
  </si>
  <si>
    <t>DER - 83.20</t>
  </si>
  <si>
    <t>SEMAD - 52.20</t>
  </si>
  <si>
    <t xml:space="preserve">PREVISÃO DE RECEBIMENTO </t>
  </si>
  <si>
    <t xml:space="preserve">VALOR RECEBIDO </t>
  </si>
  <si>
    <t>DIFERENÇA</t>
  </si>
  <si>
    <t>VALOR RECEBIDO ATÉ JUN/26</t>
  </si>
  <si>
    <t>OBSERVAÇÃO</t>
  </si>
  <si>
    <r>
      <rPr>
        <rFont val="Arial"/>
        <b/>
        <i/>
        <color theme="1"/>
      </rPr>
      <t>(SUPERÁVIT 2025)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RETENÇÃO COMANDO GERAL : R$ 1.034.437,00                                                                                                                                                                                                                                                                                                                                                                                                                                                                                                                                                                                                                                             VALOR DE CAPITAL AGUARDANDO MEMORANDO:R$ 5.800.750,92                                                                                                                                                                                                                                                                                                                                                                                                                          TOTAL : R$ 6.835.187,92                        </t>
    </r>
  </si>
  <si>
    <r>
      <rPr>
        <rFont val="Arial"/>
        <b/>
        <color theme="1"/>
      </rPr>
      <t xml:space="preserve">(PROGRAMAÇÃO 2026)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RETENÇÃO COMANDO GERAL : R$ 6.000.000,00 ( 40% PT)                                                                                                                                                                                                                                                                                                                                                                            VALOR A RECEBER ATÉ DEZ/26: R$ 4.623.221,28                                                                                                                                                                                                                                                                                                                                                                           TOTAL : R$ 15.000.000,00          </t>
    </r>
  </si>
  <si>
    <r>
      <rPr>
        <rFont val="Arial"/>
        <b/>
        <color theme="1"/>
      </rPr>
      <t xml:space="preserve">(PROGRAMAÇÃO 2026)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                                                                                           VALOR A RECEBER ATÉ DEZ/26: R$ 6.500.000,00                                                                                                                                                                                                                                                                                                                                                                                                                                     TOTAL : R$ 13.000.000,00          </t>
    </r>
  </si>
  <si>
    <t>PROGRAMAÇÃO EXERCÍCIO DE 2026 – BPMRv  – FR 83.20</t>
  </si>
  <si>
    <t>UO</t>
  </si>
  <si>
    <t>AÇÃO</t>
  </si>
  <si>
    <t>GRUPO</t>
  </si>
  <si>
    <t>IAG</t>
  </si>
  <si>
    <t>FONTE</t>
  </si>
  <si>
    <t>IPU</t>
  </si>
  <si>
    <t>ELEM.ITEM</t>
  </si>
  <si>
    <t>DESCRIÇÃO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</si>
  <si>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</si>
  <si>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</si>
  <si>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</si>
  <si>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</si>
  <si>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</si>
  <si>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</si>
  <si>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</si>
  <si>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</si>
  <si>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</si>
  <si>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</si>
  <si>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</si>
  <si>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</si>
  <si>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soma automática</t>
  </si>
  <si>
    <t>Total PT</t>
  </si>
  <si>
    <t>4374</t>
  </si>
  <si>
    <t>DIARIAS</t>
  </si>
  <si>
    <t>Material para escritório</t>
  </si>
  <si>
    <t>Material de informática</t>
  </si>
  <si>
    <t xml:space="preserve">Material para manutenção e reparos de imóveis </t>
  </si>
  <si>
    <t>Material elétrico e eletrônico</t>
  </si>
  <si>
    <t>Material de segurança, apetrechos operacionais e policiais</t>
  </si>
  <si>
    <t>Combustíveis POC</t>
  </si>
  <si>
    <t>Locação de serviços de conservação e limpeza</t>
  </si>
  <si>
    <t>Tarifa de energia elétrica</t>
  </si>
  <si>
    <t>Tarifa de água e esgoto</t>
  </si>
  <si>
    <t>Locação de veículos</t>
  </si>
  <si>
    <t>Mnt  de Veículos Rv via Contratos das RPM</t>
  </si>
  <si>
    <t>Locação de máquinas e equipamentos</t>
  </si>
  <si>
    <t>Reparos de equipamentos, instalações e material permanente</t>
  </si>
  <si>
    <t>Cursos, exposições, congressos e conferências</t>
  </si>
  <si>
    <t>Serviços de administração e gerenciamento de frota de veículos - Ticket log</t>
  </si>
  <si>
    <t>Contratação de estagiários</t>
  </si>
  <si>
    <t>Serviço de gerenciamento e fornecimento de combustível - PRIME</t>
  </si>
  <si>
    <t>Serviços de tecnologia da informação</t>
  </si>
  <si>
    <t>COLETA DE RESIDUOS</t>
  </si>
  <si>
    <t>CPE</t>
  </si>
  <si>
    <t>RATEIO/PMMG</t>
  </si>
  <si>
    <t>TOTAL</t>
  </si>
  <si>
    <t>PROGRAMAÇÃO EXERCÍCIO DE 2026 – BPM MAMB – FR 52.20</t>
  </si>
  <si>
    <t>Descrição</t>
  </si>
  <si>
    <t>DIÁRIA</t>
  </si>
  <si>
    <t>-</t>
  </si>
  <si>
    <t>MAT. ESCRITÓRIO</t>
  </si>
  <si>
    <t>MAT. INFORMATICA</t>
  </si>
  <si>
    <t>MAT. LIMPEZA</t>
  </si>
  <si>
    <t>MAT. CONSTRUÇÃO</t>
  </si>
  <si>
    <t>PEÇAS E PNEUS VTR</t>
  </si>
  <si>
    <t>MATERIAL SEGURANÇA, EX: MUNIÇÕES, COLETES, ETC...</t>
  </si>
  <si>
    <t>COMBUSTÍVEL POC</t>
  </si>
  <si>
    <t>ARTÍFICE</t>
  </si>
  <si>
    <t>SERVIÇO LOCAÇÃO VTR</t>
  </si>
  <si>
    <t>SERVIÇO MNT VTR</t>
  </si>
  <si>
    <t>LOCAÇÃO MAQUINAS/ REPOGRAFIA</t>
  </si>
  <si>
    <t>SERVIÇO REPARO MATERIAL</t>
  </si>
  <si>
    <t>SERVIÇO REPARO IMÓVEL</t>
  </si>
  <si>
    <t>LOCAÇÃO P/ TREINAMENTO</t>
  </si>
  <si>
    <t>GERENC. FROTA - TICKET LOG</t>
  </si>
  <si>
    <t>COMBUSTÍVEL INORGÂNICO</t>
  </si>
  <si>
    <t>VALOR MENSAL</t>
  </si>
  <si>
    <t>VALOR TRIMESTRAL</t>
  </si>
  <si>
    <t>PROGRAMAÇÃO SUPERÁVIT – BPM RV – FR 73.10 - DISTRIBUIÇÃO QUADRIMESTRE</t>
  </si>
  <si>
    <t>ELEMENTO</t>
  </si>
  <si>
    <t>ITEM</t>
  </si>
  <si>
    <t>SOMA AUTOMÁTICA</t>
  </si>
  <si>
    <t>TOTAL E.ITEM</t>
  </si>
  <si>
    <t>15</t>
  </si>
  <si>
    <t>DIÁRIAS</t>
  </si>
  <si>
    <t>30</t>
  </si>
  <si>
    <t>INFORMÁTICA</t>
  </si>
  <si>
    <t>MATERIAL PARA REFORMA E REPAROS</t>
  </si>
  <si>
    <t>combustíveis POC</t>
  </si>
  <si>
    <t>37</t>
  </si>
  <si>
    <t xml:space="preserve">Conservação Limpeza </t>
  </si>
  <si>
    <t>Locação de Máquinas e Eqp/Reprografia</t>
  </si>
  <si>
    <t>Manutenção ar condicionado – Cias Rv interior</t>
  </si>
  <si>
    <t>Manutenção de usina fotovoltáica</t>
  </si>
  <si>
    <t>Cercamento de frações</t>
  </si>
  <si>
    <t>Aferições IPEM</t>
  </si>
  <si>
    <t>Manutenção plataforma elevatória</t>
  </si>
  <si>
    <t>Manutenções Veículos Rv via Ticket Log</t>
  </si>
  <si>
    <t>Contratação de Estagiários – CPE</t>
  </si>
  <si>
    <t xml:space="preserve">Serviço de Dedetização </t>
  </si>
  <si>
    <t>Combustíveis PRIME</t>
  </si>
  <si>
    <t>Serviço Tecnologia da Informação: Técnicos PDCase</t>
  </si>
  <si>
    <t>Serviço Tecnologia da Informação:  Contratação Internet BPMRv/CPE</t>
  </si>
  <si>
    <t>Taxa de Resíduos Sólidos  Pref. Gov. Valadares</t>
  </si>
  <si>
    <t>Obra Reforma 1ª Cia Rv (Mateus Leme)</t>
  </si>
  <si>
    <t>Aquisição de viaturas (15 unid.)</t>
  </si>
  <si>
    <t>52</t>
  </si>
  <si>
    <t>Rádio transceptor</t>
  </si>
  <si>
    <t>TOTAL MENSAL GERAL</t>
  </si>
  <si>
    <t xml:space="preserve">RETENÇÃO COMANDO GERAL </t>
  </si>
  <si>
    <t xml:space="preserve">COMBUSTIÍVEL CMD GERAL </t>
  </si>
  <si>
    <t>EM -PMMG</t>
  </si>
  <si>
    <t>VALOR TOTAL</t>
  </si>
  <si>
    <t>PROCESSO</t>
  </si>
  <si>
    <t>MODALIDADE</t>
  </si>
  <si>
    <t>EMPRESA</t>
  </si>
  <si>
    <t>OBJETO</t>
  </si>
  <si>
    <t>CONTRATO OU ADITIVO VIGENTE</t>
  </si>
  <si>
    <t>FIM DA VIGÊNCIA</t>
  </si>
  <si>
    <t>FIM (DIAS)</t>
  </si>
  <si>
    <t>N° SEI</t>
  </si>
  <si>
    <t>OBSERVAÇÕES</t>
  </si>
  <si>
    <t>VALOR TOTAL DO CONTRATO  VIGENTE</t>
  </si>
  <si>
    <t>VALOR MENSAL/ ESTIMADO</t>
  </si>
  <si>
    <t>VALOR EMPENHADO</t>
  </si>
  <si>
    <t xml:space="preserve">ANO / Nº DO EMPENHO </t>
  </si>
  <si>
    <t>SALDO DE EMPENHO</t>
  </si>
  <si>
    <t>VALOR A EMPENHAR PARA CUMPRIMENTO DE CONTRATO</t>
  </si>
  <si>
    <t>21/2025</t>
  </si>
  <si>
    <t>PREGÃO</t>
  </si>
  <si>
    <t>MASTER CLEAN PRESTAÇÃO DE SERVIÇOS E CONSULTORIA LTDA</t>
  </si>
  <si>
    <t>Limpeza e Conservação - 4º Pel/1ª Cia (Divinópolis), 3º Pel/4ª Cia (Barbacena) e 5ª Cia Rv (Poços de Caldas).</t>
  </si>
  <si>
    <t>CONTRATO</t>
  </si>
  <si>
    <t>1250.01.0007434/2025-07</t>
  </si>
  <si>
    <t>CONTRATO Nº 9473404/2025</t>
  </si>
  <si>
    <t>EMPRESA TATICA SOLUÇÕES EM SERVIÇOS LTDA</t>
  </si>
  <si>
    <t xml:space="preserve">Limpeza e Conservação - Sede CPE, 1ª Cia Rv/ Limpeza e Conservação - Sede BPM Mamb </t>
  </si>
  <si>
    <t>CONTRATO Nº 9473310/2025</t>
  </si>
  <si>
    <t>PREGÂO</t>
  </si>
  <si>
    <t>Limpeza e Conservação - Sede BPM Mamb</t>
  </si>
  <si>
    <t>Trabalhador de manutenção de edificações - MAmb</t>
  </si>
  <si>
    <t>1250.01.0004671/2026-12</t>
  </si>
  <si>
    <t xml:space="preserve">CONTRATO Nº 009501880/2026 </t>
  </si>
  <si>
    <t>Trabalhador de manutenção de edificações - Rv</t>
  </si>
  <si>
    <t xml:space="preserve">CONTRATO Nº 009501880/2026 CNPJ 16955645000118 </t>
  </si>
  <si>
    <t>contrato nº 9443457/2024</t>
  </si>
  <si>
    <t>TEMIS / 11ª RPM</t>
  </si>
  <si>
    <t>CONSERVAÇÃO E LIMPEZA 2ª CIA RV</t>
  </si>
  <si>
    <t>GERIDO PELA 11ª RPM</t>
  </si>
  <si>
    <t>?</t>
  </si>
  <si>
    <t>54/2025</t>
  </si>
  <si>
    <t>COTEP</t>
  </si>
  <si>
    <t>Dedetizadora Itabirito Ltda</t>
  </si>
  <si>
    <t>Serviço controle de pragas BPM MAmb</t>
  </si>
  <si>
    <t>1250.01.0025411/2025-16</t>
  </si>
  <si>
    <t>Aguarda assinatura do CHEM no aditivo 02/06/26 - licitacao@dedetizadoraestradareal.com.br</t>
  </si>
  <si>
    <t>53/2023</t>
  </si>
  <si>
    <t>INEXIGIBILIDADE</t>
  </si>
  <si>
    <t>ELEC</t>
  </si>
  <si>
    <t>MANUTENÇÃO DE ETILÔMETROS</t>
  </si>
  <si>
    <t>3º TERMO ADITIVO</t>
  </si>
  <si>
    <t>1250.01.0007460/2023-87</t>
  </si>
  <si>
    <t>virginia@elec.com.br</t>
  </si>
  <si>
    <t xml:space="preserve">SALDO AGUARDANDO LIQUIDAÇÃO </t>
  </si>
  <si>
    <t>74/2022</t>
  </si>
  <si>
    <t>AGIEL</t>
  </si>
  <si>
    <t>Agenciamento de estágio</t>
  </si>
  <si>
    <t>7º TERMO ADITIVO</t>
  </si>
  <si>
    <t>1250.01.0010471/2022-79</t>
  </si>
  <si>
    <t>1339/2026</t>
  </si>
  <si>
    <t>2023-85</t>
  </si>
  <si>
    <t>JANDERSON REZENDE</t>
  </si>
  <si>
    <t>Manutenção usina fotovoltáica - CPE</t>
  </si>
  <si>
    <t>1º Termo Aditivo</t>
  </si>
  <si>
    <t>1250.01.0004392/2023-85</t>
  </si>
  <si>
    <t>itabetsolar@gmail.com / CONTRATO Nº 9446050/2024</t>
  </si>
  <si>
    <t>EMPENHO TOTAL EFETIVADO</t>
  </si>
  <si>
    <t>ELEVADORES MILENIO LTDA</t>
  </si>
  <si>
    <t>manutenção de plataforma elevatoria</t>
  </si>
  <si>
    <t>1250.01.0007532/2026-74</t>
  </si>
  <si>
    <t>CONTRATO Nº 9507102/2026 - CNPJ 03.539.398/0001-27</t>
  </si>
  <si>
    <t>1323/2026</t>
  </si>
  <si>
    <t>29/2022</t>
  </si>
  <si>
    <t>ELEVTECH ELEVADORES LTDA - 28.941.803/0001-60</t>
  </si>
  <si>
    <t>Manutenção preventiva e corretiva da plataforma elevatória do prédio II</t>
  </si>
  <si>
    <t>4º Termo Aditivo</t>
  </si>
  <si>
    <t>1250.01.0005794/2022-64</t>
  </si>
  <si>
    <t>Email para regularização do CRC enviado em 02/06/2026.</t>
  </si>
  <si>
    <t>14/2022</t>
  </si>
  <si>
    <t>JMBM ENGENHARIA ELÉTRICAS &amp; CLIMATIZAÇÃO LTDA</t>
  </si>
  <si>
    <t>Manutenção de ar condicionado</t>
  </si>
  <si>
    <t>4° TERMO ADITIVO</t>
  </si>
  <si>
    <t>1250.01.0000598/2022-94</t>
  </si>
  <si>
    <t>EMAIL ENVIADO EM 10/04/26 - ilumineengenharia@gmail.com- CNPJ 24.825.276/0001-77</t>
  </si>
  <si>
    <t>545/2026 83.2 corretiva 202673.1preventiva</t>
  </si>
  <si>
    <t>LILIAN BERNARDES MOSINHO SANTOS 074.912.736-88</t>
  </si>
  <si>
    <t>EMAIL ENVIADO EM 10/04/26 -  JLDISTRIBUIDORA.COMERCIAL@gmail.com - CNPJ 42.516.875/0001-90</t>
  </si>
  <si>
    <t>SILK BRINDES COMUNICAÇÃO VISUAL, COMÉRCIO, SERVIÇOS E TELECOMUNICAÇÕES LTDA</t>
  </si>
  <si>
    <t>EMAIL ENVIADO EM 10/04/26 - silkbrindes@live.com</t>
  </si>
  <si>
    <t>17/2025</t>
  </si>
  <si>
    <t>AMPLA SERVICES LTDA - ME</t>
  </si>
  <si>
    <t>serviços de locação de equipamentos e serviços e reprografia para as Unidades do CPE</t>
  </si>
  <si>
    <t>1250.01.0010292/2025-53</t>
  </si>
  <si>
    <t>administrativo@amplaservices.com.br</t>
  </si>
  <si>
    <t>VALOR MENSAL VARIÁVEL, SALDO SUFICIENTE PARA CUMPRIMENTO DE CONTRATO</t>
  </si>
  <si>
    <t>114/2023</t>
  </si>
  <si>
    <t>INTERNET (EMPRESA CORPORATIVA)</t>
  </si>
  <si>
    <t>SEDE</t>
  </si>
  <si>
    <t>2º Termo Aditivo</t>
  </si>
  <si>
    <t>1250.01.0015002/2023-56</t>
  </si>
  <si>
    <t>Renovado e enviado a Corporativa em 15/04/2026.</t>
  </si>
  <si>
    <t xml:space="preserve"> 1.916,74</t>
  </si>
  <si>
    <t>41/2023</t>
  </si>
  <si>
    <t>NEXT TELECOMUNICACOES DO BRASIL LTDA</t>
  </si>
  <si>
    <t>Internet 4ª Cia Rv (UBA)</t>
  </si>
  <si>
    <t>1250.01.0005671/2023-84</t>
  </si>
  <si>
    <t>SOLICITAÇÃO A NEXT EM 06/05/26 - ATUALIZAÇÃO DO CRC - tf@nexttel.com.br</t>
  </si>
  <si>
    <t>27/2025</t>
  </si>
  <si>
    <t>CONT. DIRETA</t>
  </si>
  <si>
    <t>BLTV Comunicações LTDA - (INTERNET 4 CIA RV)</t>
  </si>
  <si>
    <t>4 CIA RV</t>
  </si>
  <si>
    <t>1250.01.0006636/2025-19</t>
  </si>
  <si>
    <t>CONTRATO 9473980/2025</t>
  </si>
  <si>
    <t>56/2025</t>
  </si>
  <si>
    <t>RP</t>
  </si>
  <si>
    <t>TIM S/A</t>
  </si>
  <si>
    <t>SERVIÇO MÓVEL PESSOAL (SMP) - VOZ E DADOS 100GB</t>
  </si>
  <si>
    <t>1250.01.0027337/2025-06</t>
  </si>
  <si>
    <t>CONTRATO N° 9492961/2025 - mdpereira@timbrasil.com.br</t>
  </si>
  <si>
    <t>29/2024</t>
  </si>
  <si>
    <t>REPROGRAFIA SIMPRESS (BPGD E CIA IND REC EV)</t>
  </si>
  <si>
    <t>1250.01.0013644/2024-53</t>
  </si>
  <si>
    <t>Fonte 10 - DAL 1 e DS (SAS BPGD fonte 60)</t>
  </si>
  <si>
    <t>R$ 5.786,28</t>
  </si>
  <si>
    <t>VALOR ANUAL PARA CUSTEIO DE CONTRATOS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</si>
</sst>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\-??_-;_-@"/>
    <numFmt numFmtId="166" formatCode="#,##0.00\ [$€-1]"/>
    <numFmt numFmtId="167" formatCode="dd/MM/yyyy"/>
    <numFmt numFmtId="168" formatCode="mm/yyyy"/>
    <numFmt numFmtId="169" formatCode="mm/dd"/>
    <numFmt numFmtId="170" formatCode="dd/mm/yyyy"/>
  </numFmts>
  <fonts count="31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/>
    <font>
      <sz val="27.0"/>
      <color theme="1"/>
      <name val="Impact"/>
    </font>
    <font>
      <b/>
      <sz val="17.0"/>
      <color theme="1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5.0"/>
      <color theme="1"/>
      <name val="Arial"/>
    </font>
    <font>
      <b/>
      <sz val="11.0"/>
      <color rgb="FFFFFFFF"/>
      <name val="Calibri"/>
    </font>
    <font>
      <sz val="11.0"/>
      <color rgb="FFFFFFFF"/>
      <name val="Calibri"/>
    </font>
    <font>
      <b/>
      <sz val="11.0"/>
      <color theme="1"/>
      <name val="Calibri"/>
    </font>
    <font>
      <sz val="11.0"/>
      <color rgb="FF0D0D0D"/>
      <name val="Calibri"/>
    </font>
    <font>
      <b/>
      <sz val="15.0"/>
      <color theme="1"/>
      <name val="Calibri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>
      <sz val="12.0"/>
      <color theme="1"/>
      <name val="Calibri"/>
    </font>
    <font>
      <b/>
      <sz val="12.0"/>
      <color theme="1"/>
      <name val="Arial"/>
    </font>
    <font>
      <color rgb="FF434343"/>
      <name val="Arial"/>
    </font>
    <font>
      <b/>
      <color rgb="FF434343"/>
      <name val="Arial"/>
    </font>
    <font>
      <b/>
      <sz val="11.0"/>
      <color rgb="FF434343"/>
      <name val="Arial"/>
    </font>
    <font>
      <b/>
      <color rgb="FF000000"/>
      <name val="Arial"/>
    </font>
    <font>
      <b/>
      <sz val="11.0"/>
      <color rgb="FF000000"/>
      <name val="Arial"/>
    </font>
    <font>
      <sz val="12.0"/>
      <color rgb="FF434343"/>
      <name val="Arial"/>
    </font>
    <font>
      <color rgb="FF434343"/>
      <name val="Roboto"/>
    </font>
    <font>
      <sz val="11.0"/>
      <color rgb="FF434343"/>
      <name val="Arial"/>
    </font>
    <font>
      <color rgb="FF434343"/>
      <name val="Calibri"/>
    </font>
    <font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C8C59"/>
        <bgColor rgb="FF9C8C59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355269"/>
        <bgColor rgb="FF355269"/>
      </patternFill>
    </fill>
    <fill>
      <patternFill patternType="solid">
        <fgColor rgb="FF1F4E79"/>
        <bgColor rgb="FF1F4E79"/>
      </patternFill>
    </fill>
    <fill>
      <patternFill patternType="solid">
        <fgColor rgb="FF92D050"/>
        <bgColor rgb="FF92D050"/>
      </patternFill>
    </fill>
    <fill>
      <patternFill patternType="solid">
        <fgColor rgb="FF8FAADC"/>
        <bgColor rgb="FF8FAADC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F81BD"/>
        <bgColor rgb="FF4F81BD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F6F8F9"/>
        <bgColor rgb="FFF6F8F9"/>
      </patternFill>
    </fill>
  </fills>
  <borders count="63">
    <border/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B7E1CD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4CCC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4CCCC"/>
      </bottom>
    </border>
    <border>
      <left style="thin">
        <color rgb="FFF4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4CCCC"/>
      </right>
      <top style="thin">
        <color rgb="FF000000"/>
      </top>
      <bottom style="thin">
        <color rgb="FFF4CCCC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D9EAD3"/>
      </right>
      <top style="thin">
        <color rgb="FFD9EAD3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D9EAD3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EAD3"/>
      </right>
      <top style="thin">
        <color rgb="FF000000"/>
      </top>
      <bottom style="thin">
        <color rgb="FFD9EAD3"/>
      </bottom>
    </border>
    <border>
      <left style="thin">
        <color rgb="FFB7E1CD"/>
      </left>
      <right style="thin">
        <color rgb="FF000000"/>
      </right>
      <top style="thin">
        <color rgb="FF000000"/>
      </top>
      <bottom style="thin">
        <color rgb="FFB7E1C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EAD3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B7E1CD"/>
      </left>
      <right style="thin">
        <color rgb="FF000000"/>
      </right>
      <top style="thin">
        <color rgb="FFB7E1CD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4CCCC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Font="1"/>
    <xf borderId="2" fillId="0" fontId="3" numFmtId="0" xfId="0" applyBorder="1" applyFont="1"/>
    <xf borderId="1" fillId="3" fontId="4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4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8" fillId="3" fontId="6" numFmtId="0" xfId="0" applyAlignment="1" applyBorder="1" applyFont="1">
      <alignment horizontal="center" readingOrder="0" shrinkToFit="0" wrapText="1"/>
    </xf>
    <xf borderId="9" fillId="3" fontId="6" numFmtId="0" xfId="0" applyAlignment="1" applyBorder="1" applyFont="1">
      <alignment horizontal="center" readingOrder="0" shrinkToFit="0" wrapText="1"/>
    </xf>
    <xf borderId="10" fillId="3" fontId="6" numFmtId="0" xfId="0" applyAlignment="1" applyBorder="1" applyFont="1">
      <alignment horizontal="center" readingOrder="0" shrinkToFit="0" wrapText="1"/>
    </xf>
    <xf borderId="11" fillId="3" fontId="6" numFmtId="0" xfId="0" applyAlignment="1" applyBorder="1" applyFont="1">
      <alignment horizontal="center" readingOrder="0" shrinkToFit="0" wrapText="1"/>
    </xf>
    <xf borderId="8" fillId="6" fontId="7" numFmtId="164" xfId="0" applyAlignment="1" applyBorder="1" applyFill="1" applyFont="1" applyNumberFormat="1">
      <alignment horizontal="center" readingOrder="0" vertical="center"/>
    </xf>
    <xf borderId="9" fillId="7" fontId="7" numFmtId="164" xfId="0" applyAlignment="1" applyBorder="1" applyFill="1" applyFont="1" applyNumberFormat="1">
      <alignment horizontal="center" readingOrder="0" vertical="center"/>
    </xf>
    <xf borderId="10" fillId="8" fontId="7" numFmtId="164" xfId="0" applyAlignment="1" applyBorder="1" applyFill="1" applyFont="1" applyNumberFormat="1">
      <alignment horizontal="center" vertical="center"/>
    </xf>
    <xf borderId="11" fillId="6" fontId="7" numFmtId="164" xfId="0" applyAlignment="1" applyBorder="1" applyFont="1" applyNumberFormat="1">
      <alignment horizontal="center" readingOrder="0" vertical="center"/>
    </xf>
    <xf borderId="12" fillId="3" fontId="8" numFmtId="164" xfId="0" applyAlignment="1" applyBorder="1" applyFont="1" applyNumberFormat="1">
      <alignment horizontal="center" readingOrder="0"/>
    </xf>
    <xf borderId="13" fillId="0" fontId="3" numFmtId="0" xfId="0" applyBorder="1" applyFont="1"/>
    <xf borderId="14" fillId="0" fontId="3" numFmtId="0" xfId="0" applyBorder="1" applyFont="1"/>
    <xf borderId="13" fillId="3" fontId="8" numFmtId="164" xfId="0" applyAlignment="1" applyBorder="1" applyFont="1" applyNumberFormat="1">
      <alignment horizontal="center" readingOrder="0"/>
    </xf>
    <xf borderId="15" fillId="9" fontId="2" numFmtId="164" xfId="0" applyAlignment="1" applyBorder="1" applyFill="1" applyFont="1" applyNumberFormat="1">
      <alignment horizontal="center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6" fillId="9" fontId="2" numFmtId="164" xfId="0" applyAlignment="1" applyBorder="1" applyFont="1" applyNumberFormat="1">
      <alignment horizontal="center" readingOrder="0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3" fillId="3" fontId="2" numFmtId="0" xfId="0" applyAlignment="1" applyBorder="1" applyFont="1">
      <alignment readingOrder="0"/>
    </xf>
    <xf borderId="4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21" fillId="3" fontId="2" numFmtId="0" xfId="0" applyAlignment="1" applyBorder="1" applyFont="1">
      <alignment readingOrder="0"/>
    </xf>
    <xf borderId="6" fillId="3" fontId="2" numFmtId="0" xfId="0" applyAlignment="1" applyBorder="1" applyFont="1">
      <alignment readingOrder="0"/>
    </xf>
    <xf borderId="7" fillId="3" fontId="2" numFmtId="0" xfId="0" applyAlignment="1" applyBorder="1" applyFont="1">
      <alignment readingOrder="0"/>
    </xf>
    <xf borderId="21" fillId="0" fontId="3" numFmtId="0" xfId="0" applyBorder="1" applyFont="1"/>
    <xf borderId="0" fillId="0" fontId="9" numFmtId="0" xfId="0" applyAlignment="1" applyFont="1">
      <alignment vertical="bottom"/>
    </xf>
    <xf borderId="22" fillId="10" fontId="10" numFmtId="0" xfId="0" applyAlignment="1" applyBorder="1" applyFill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11" fontId="11" numFmtId="0" xfId="0" applyAlignment="1" applyBorder="1" applyFill="1" applyFont="1">
      <alignment horizontal="center"/>
    </xf>
    <xf borderId="25" fillId="12" fontId="11" numFmtId="0" xfId="0" applyAlignment="1" applyBorder="1" applyFill="1" applyFont="1">
      <alignment horizontal="center" shrinkToFit="0" wrapText="1"/>
    </xf>
    <xf borderId="25" fillId="12" fontId="12" numFmtId="0" xfId="0" applyAlignment="1" applyBorder="1" applyFont="1">
      <alignment horizontal="center" shrinkToFit="0" wrapText="1"/>
    </xf>
    <xf borderId="25" fillId="13" fontId="13" numFmtId="165" xfId="0" applyAlignment="1" applyBorder="1" applyFill="1" applyFont="1" applyNumberFormat="1">
      <alignment horizontal="center" shrinkToFit="0" wrapText="1"/>
    </xf>
    <xf borderId="25" fillId="14" fontId="13" numFmtId="165" xfId="0" applyAlignment="1" applyBorder="1" applyFill="1" applyFont="1" applyNumberFormat="1">
      <alignment horizontal="center" shrinkToFit="0" wrapText="1"/>
    </xf>
    <xf borderId="25" fillId="15" fontId="13" numFmtId="165" xfId="0" applyAlignment="1" applyBorder="1" applyFill="1" applyFont="1" applyNumberFormat="1">
      <alignment horizontal="center" shrinkToFit="0" wrapText="1"/>
    </xf>
    <xf borderId="25" fillId="16" fontId="13" numFmtId="165" xfId="0" applyAlignment="1" applyBorder="1" applyFill="1" applyFont="1" applyNumberFormat="1">
      <alignment horizontal="center" shrinkToFit="0" wrapText="1"/>
    </xf>
    <xf borderId="25" fillId="10" fontId="13" numFmtId="165" xfId="0" applyAlignment="1" applyBorder="1" applyFont="1" applyNumberFormat="1">
      <alignment horizontal="center" shrinkToFit="0" wrapText="1"/>
    </xf>
    <xf borderId="25" fillId="17" fontId="13" numFmtId="4" xfId="0" applyAlignment="1" applyBorder="1" applyFill="1" applyFont="1" applyNumberFormat="1">
      <alignment horizontal="center"/>
    </xf>
    <xf borderId="26" fillId="0" fontId="9" numFmtId="0" xfId="0" applyAlignment="1" applyBorder="1" applyFont="1">
      <alignment horizontal="center" vertical="top"/>
    </xf>
    <xf borderId="26" fillId="0" fontId="9" numFmtId="49" xfId="0" applyAlignment="1" applyBorder="1" applyFont="1" applyNumberFormat="1">
      <alignment horizontal="center" vertical="top"/>
    </xf>
    <xf borderId="26" fillId="18" fontId="9" numFmtId="0" xfId="0" applyAlignment="1" applyBorder="1" applyFill="1" applyFont="1">
      <alignment horizontal="center"/>
    </xf>
    <xf borderId="26" fillId="0" fontId="9" numFmtId="0" xfId="0" applyAlignment="1" applyBorder="1" applyFont="1">
      <alignment horizontal="center"/>
    </xf>
    <xf borderId="26" fillId="0" fontId="9" numFmtId="0" xfId="0" applyAlignment="1" applyBorder="1" applyFont="1">
      <alignment horizontal="center" shrinkToFit="0" wrapText="1"/>
    </xf>
    <xf borderId="9" fillId="18" fontId="9" numFmtId="165" xfId="0" applyAlignment="1" applyBorder="1" applyFont="1" applyNumberFormat="1">
      <alignment horizontal="center"/>
    </xf>
    <xf borderId="26" fillId="0" fontId="9" numFmtId="164" xfId="0" applyAlignment="1" applyBorder="1" applyFont="1" applyNumberFormat="1">
      <alignment horizontal="center"/>
    </xf>
    <xf borderId="26" fillId="18" fontId="14" numFmtId="164" xfId="0" applyAlignment="1" applyBorder="1" applyFont="1" applyNumberFormat="1">
      <alignment horizontal="center"/>
    </xf>
    <xf borderId="26" fillId="19" fontId="13" numFmtId="164" xfId="0" applyAlignment="1" applyBorder="1" applyFill="1" applyFont="1" applyNumberFormat="1">
      <alignment horizontal="center"/>
    </xf>
    <xf borderId="9" fillId="0" fontId="9" numFmtId="0" xfId="0" applyAlignment="1" applyBorder="1" applyFont="1">
      <alignment horizontal="center" vertical="top"/>
    </xf>
    <xf borderId="9" fillId="0" fontId="9" numFmtId="49" xfId="0" applyAlignment="1" applyBorder="1" applyFont="1" applyNumberFormat="1">
      <alignment horizontal="center" vertical="top"/>
    </xf>
    <xf borderId="9" fillId="18" fontId="9" numFmtId="0" xfId="0" applyAlignment="1" applyBorder="1" applyFont="1">
      <alignment horizontal="center"/>
    </xf>
    <xf borderId="9" fillId="18" fontId="9" numFmtId="0" xfId="0" applyAlignment="1" applyBorder="1" applyFont="1">
      <alignment horizontal="center" shrinkToFit="0" wrapText="1"/>
    </xf>
    <xf borderId="27" fillId="19" fontId="13" numFmtId="164" xfId="0" applyAlignment="1" applyBorder="1" applyFont="1" applyNumberFormat="1">
      <alignment horizontal="center"/>
    </xf>
    <xf borderId="28" fillId="0" fontId="3" numFmtId="0" xfId="0" applyBorder="1" applyFont="1"/>
    <xf borderId="9" fillId="0" fontId="9" numFmtId="0" xfId="0" applyAlignment="1" applyBorder="1" applyFont="1">
      <alignment horizontal="center"/>
    </xf>
    <xf borderId="9" fillId="0" fontId="9" numFmtId="0" xfId="0" applyAlignment="1" applyBorder="1" applyFont="1">
      <alignment horizontal="center" shrinkToFit="0" wrapText="1"/>
    </xf>
    <xf borderId="9" fillId="20" fontId="9" numFmtId="0" xfId="0" applyAlignment="1" applyBorder="1" applyFill="1" applyFont="1">
      <alignment horizontal="center" shrinkToFit="0" wrapText="1"/>
    </xf>
    <xf borderId="26" fillId="0" fontId="3" numFmtId="0" xfId="0" applyBorder="1" applyFont="1"/>
    <xf borderId="9" fillId="0" fontId="9" numFmtId="0" xfId="0" applyBorder="1" applyFont="1"/>
    <xf borderId="9" fillId="19" fontId="13" numFmtId="164" xfId="0" applyAlignment="1" applyBorder="1" applyFont="1" applyNumberFormat="1">
      <alignment horizontal="center"/>
    </xf>
    <xf borderId="9" fillId="18" fontId="9" numFmtId="164" xfId="0" applyAlignment="1" applyBorder="1" applyFont="1" applyNumberFormat="1">
      <alignment horizontal="center"/>
    </xf>
    <xf borderId="9" fillId="18" fontId="14" numFmtId="164" xfId="0" applyAlignment="1" applyBorder="1" applyFont="1" applyNumberFormat="1">
      <alignment horizontal="center"/>
    </xf>
    <xf borderId="9" fillId="0" fontId="9" numFmtId="0" xfId="0" applyAlignment="1" applyBorder="1" applyFont="1">
      <alignment horizontal="center" vertical="bottom"/>
    </xf>
    <xf borderId="9" fillId="20" fontId="9" numFmtId="0" xfId="0" applyAlignment="1" applyBorder="1" applyFont="1">
      <alignment horizontal="center" shrinkToFit="0" vertical="bottom" wrapText="1"/>
    </xf>
    <xf borderId="9" fillId="18" fontId="9" numFmtId="164" xfId="0" applyAlignment="1" applyBorder="1" applyFont="1" applyNumberFormat="1">
      <alignment horizontal="right" vertical="bottom"/>
    </xf>
    <xf borderId="29" fillId="0" fontId="9" numFmtId="0" xfId="0" applyAlignment="1" applyBorder="1" applyFont="1">
      <alignment horizontal="center"/>
    </xf>
    <xf borderId="29" fillId="19" fontId="9" numFmtId="0" xfId="0" applyAlignment="1" applyBorder="1" applyFont="1">
      <alignment horizontal="center" shrinkToFit="0" wrapText="1"/>
    </xf>
    <xf borderId="9" fillId="18" fontId="9" numFmtId="164" xfId="0" applyBorder="1" applyFont="1" applyNumberFormat="1"/>
    <xf borderId="29" fillId="0" fontId="9" numFmtId="0" xfId="0" applyAlignment="1" applyBorder="1" applyFont="1">
      <alignment horizontal="center" shrinkToFit="0" wrapText="1"/>
    </xf>
    <xf borderId="27" fillId="0" fontId="9" numFmtId="0" xfId="0" applyAlignment="1" applyBorder="1" applyFont="1">
      <alignment horizontal="center" vertical="top"/>
    </xf>
    <xf borderId="27" fillId="0" fontId="9" numFmtId="49" xfId="0" applyAlignment="1" applyBorder="1" applyFont="1" applyNumberFormat="1">
      <alignment horizontal="center" vertical="top"/>
    </xf>
    <xf borderId="27" fillId="18" fontId="9" numFmtId="0" xfId="0" applyAlignment="1" applyBorder="1" applyFont="1">
      <alignment horizontal="center"/>
    </xf>
    <xf borderId="30" fillId="0" fontId="9" numFmtId="0" xfId="0" applyAlignment="1" applyBorder="1" applyFont="1">
      <alignment horizontal="center"/>
    </xf>
    <xf borderId="30" fillId="0" fontId="9" numFmtId="0" xfId="0" applyAlignment="1" applyBorder="1" applyFont="1">
      <alignment horizontal="center" shrinkToFit="0" wrapText="1"/>
    </xf>
    <xf borderId="27" fillId="18" fontId="9" numFmtId="164" xfId="0" applyAlignment="1" applyBorder="1" applyFont="1" applyNumberFormat="1">
      <alignment horizontal="center"/>
    </xf>
    <xf borderId="27" fillId="18" fontId="14" numFmtId="164" xfId="0" applyAlignment="1" applyBorder="1" applyFont="1" applyNumberFormat="1">
      <alignment horizontal="center"/>
    </xf>
    <xf borderId="22" fillId="20" fontId="9" numFmtId="165" xfId="0" applyBorder="1" applyFont="1" applyNumberFormat="1"/>
    <xf borderId="25" fillId="0" fontId="9" numFmtId="164" xfId="0" applyAlignment="1" applyBorder="1" applyFont="1" applyNumberFormat="1">
      <alignment horizontal="center"/>
    </xf>
    <xf borderId="25" fillId="18" fontId="9" numFmtId="164" xfId="0" applyAlignment="1" applyBorder="1" applyFont="1" applyNumberFormat="1">
      <alignment horizontal="center"/>
    </xf>
    <xf borderId="25" fillId="0" fontId="9" numFmtId="164" xfId="0" applyAlignment="1" applyBorder="1" applyFont="1" applyNumberFormat="1">
      <alignment horizontal="right" vertical="bottom"/>
    </xf>
    <xf borderId="25" fillId="10" fontId="14" numFmtId="164" xfId="0" applyAlignment="1" applyBorder="1" applyFont="1" applyNumberFormat="1">
      <alignment horizontal="center"/>
    </xf>
    <xf borderId="25" fillId="19" fontId="13" numFmtId="164" xfId="0" applyAlignment="1" applyBorder="1" applyFont="1" applyNumberFormat="1">
      <alignment horizontal="center"/>
    </xf>
    <xf borderId="0" fillId="0" fontId="9" numFmtId="164" xfId="0" applyAlignment="1" applyFont="1" applyNumberFormat="1">
      <alignment vertical="bottom"/>
    </xf>
    <xf borderId="9" fillId="10" fontId="9" numFmtId="0" xfId="0" applyAlignment="1" applyBorder="1" applyFont="1">
      <alignment vertical="bottom"/>
    </xf>
    <xf borderId="9" fillId="10" fontId="9" numFmtId="10" xfId="0" applyAlignment="1" applyBorder="1" applyFont="1" applyNumberFormat="1">
      <alignment horizontal="right" vertical="bottom"/>
    </xf>
    <xf borderId="29" fillId="10" fontId="9" numFmtId="164" xfId="0" applyAlignment="1" applyBorder="1" applyFont="1" applyNumberFormat="1">
      <alignment horizontal="center" vertical="bottom"/>
    </xf>
    <xf borderId="11" fillId="0" fontId="3" numFmtId="0" xfId="0" applyBorder="1" applyFont="1"/>
    <xf borderId="0" fillId="0" fontId="9" numFmtId="0" xfId="0" applyFont="1"/>
    <xf borderId="22" fillId="10" fontId="15" numFmtId="0" xfId="0" applyAlignment="1" applyBorder="1" applyFont="1">
      <alignment horizontal="center" vertical="bottom"/>
    </xf>
    <xf borderId="25" fillId="21" fontId="13" numFmtId="4" xfId="0" applyAlignment="1" applyBorder="1" applyFill="1" applyFont="1" applyNumberFormat="1">
      <alignment horizontal="center" vertical="bottom"/>
    </xf>
    <xf borderId="26" fillId="0" fontId="9" numFmtId="49" xfId="0" applyAlignment="1" applyBorder="1" applyFont="1" applyNumberFormat="1">
      <alignment horizontal="center"/>
    </xf>
    <xf borderId="26" fillId="0" fontId="9" numFmtId="0" xfId="0" applyBorder="1" applyFont="1"/>
    <xf borderId="26" fillId="0" fontId="9" numFmtId="165" xfId="0" applyAlignment="1" applyBorder="1" applyFont="1" applyNumberFormat="1">
      <alignment horizontal="center"/>
    </xf>
    <xf borderId="26" fillId="0" fontId="9" numFmtId="164" xfId="0" applyAlignment="1" applyBorder="1" applyFont="1" applyNumberFormat="1">
      <alignment horizontal="center"/>
    </xf>
    <xf borderId="26" fillId="7" fontId="9" numFmtId="164" xfId="0" applyAlignment="1" applyBorder="1" applyFont="1" applyNumberFormat="1">
      <alignment horizontal="center"/>
    </xf>
    <xf borderId="26" fillId="18" fontId="9" numFmtId="164" xfId="0" applyAlignment="1" applyBorder="1" applyFont="1" applyNumberFormat="1">
      <alignment horizontal="center"/>
    </xf>
    <xf borderId="31" fillId="18" fontId="14" numFmtId="164" xfId="0" applyAlignment="1" applyBorder="1" applyFont="1" applyNumberFormat="1">
      <alignment horizontal="center"/>
    </xf>
    <xf borderId="25" fillId="0" fontId="13" numFmtId="164" xfId="0" applyAlignment="1" applyBorder="1" applyFont="1" applyNumberFormat="1">
      <alignment horizontal="center" vertical="bottom"/>
    </xf>
    <xf borderId="9" fillId="7" fontId="9" numFmtId="0" xfId="0" applyAlignment="1" applyBorder="1" applyFont="1">
      <alignment horizontal="center"/>
    </xf>
    <xf borderId="9" fillId="7" fontId="9" numFmtId="49" xfId="0" applyAlignment="1" applyBorder="1" applyFont="1" applyNumberFormat="1">
      <alignment horizontal="center"/>
    </xf>
    <xf borderId="9" fillId="7" fontId="9" numFmtId="0" xfId="0" applyAlignment="1" applyBorder="1" applyFont="1">
      <alignment vertical="bottom"/>
    </xf>
    <xf borderId="26" fillId="7" fontId="9" numFmtId="165" xfId="0" applyAlignment="1" applyBorder="1" applyFont="1" applyNumberFormat="1">
      <alignment horizontal="center"/>
    </xf>
    <xf borderId="9" fillId="7" fontId="9" numFmtId="165" xfId="0" applyAlignment="1" applyBorder="1" applyFont="1" applyNumberFormat="1">
      <alignment horizontal="center"/>
    </xf>
    <xf borderId="9" fillId="7" fontId="9" numFmtId="164" xfId="0" applyAlignment="1" applyBorder="1" applyFont="1" applyNumberFormat="1">
      <alignment horizontal="center"/>
    </xf>
    <xf borderId="29" fillId="7" fontId="14" numFmtId="164" xfId="0" applyAlignment="1" applyBorder="1" applyFont="1" applyNumberFormat="1">
      <alignment horizontal="center"/>
    </xf>
    <xf borderId="32" fillId="7" fontId="13" numFmtId="164" xfId="0" applyAlignment="1" applyBorder="1" applyFont="1" applyNumberFormat="1">
      <alignment horizontal="center"/>
    </xf>
    <xf borderId="0" fillId="7" fontId="9" numFmtId="0" xfId="0" applyAlignment="1" applyFont="1">
      <alignment vertical="bottom"/>
    </xf>
    <xf borderId="33" fillId="0" fontId="3" numFmtId="0" xfId="0" applyBorder="1" applyFont="1"/>
    <xf borderId="34" fillId="7" fontId="9" numFmtId="164" xfId="0" applyAlignment="1" applyBorder="1" applyFont="1" applyNumberFormat="1">
      <alignment horizontal="center"/>
    </xf>
    <xf borderId="35" fillId="0" fontId="3" numFmtId="0" xfId="0" applyBorder="1" applyFont="1"/>
    <xf borderId="9" fillId="0" fontId="9" numFmtId="49" xfId="0" applyAlignment="1" applyBorder="1" applyFont="1" applyNumberFormat="1">
      <alignment horizontal="center"/>
    </xf>
    <xf borderId="9" fillId="18" fontId="9" numFmtId="164" xfId="0" applyAlignment="1" applyBorder="1" applyFont="1" applyNumberFormat="1">
      <alignment horizontal="center"/>
    </xf>
    <xf borderId="29" fillId="18" fontId="14" numFmtId="164" xfId="0" applyAlignment="1" applyBorder="1" applyFont="1" applyNumberFormat="1">
      <alignment horizontal="center"/>
    </xf>
    <xf borderId="9" fillId="7" fontId="9" numFmtId="0" xfId="0" applyAlignment="1" applyBorder="1" applyFont="1">
      <alignment horizontal="center" vertical="bottom"/>
    </xf>
    <xf borderId="9" fillId="7" fontId="9" numFmtId="164" xfId="0" applyAlignment="1" applyBorder="1" applyFont="1" applyNumberFormat="1">
      <alignment horizontal="center" vertical="bottom"/>
    </xf>
    <xf borderId="31" fillId="7" fontId="9" numFmtId="0" xfId="0" applyAlignment="1" applyBorder="1" applyFont="1">
      <alignment vertical="bottom"/>
    </xf>
    <xf borderId="29" fillId="7" fontId="14" numFmtId="49" xfId="0" applyAlignment="1" applyBorder="1" applyFont="1" applyNumberFormat="1">
      <alignment horizontal="center"/>
    </xf>
    <xf borderId="27" fillId="7" fontId="9" numFmtId="0" xfId="0" applyAlignment="1" applyBorder="1" applyFont="1">
      <alignment horizontal="center"/>
    </xf>
    <xf borderId="27" fillId="7" fontId="9" numFmtId="49" xfId="0" applyAlignment="1" applyBorder="1" applyFont="1" applyNumberFormat="1">
      <alignment horizontal="center"/>
    </xf>
    <xf borderId="30" fillId="7" fontId="9" numFmtId="0" xfId="0" applyAlignment="1" applyBorder="1" applyFont="1">
      <alignment horizontal="center"/>
    </xf>
    <xf borderId="27" fillId="7" fontId="9" numFmtId="164" xfId="0" applyAlignment="1" applyBorder="1" applyFont="1" applyNumberFormat="1">
      <alignment horizontal="center"/>
    </xf>
    <xf borderId="30" fillId="7" fontId="14" numFmtId="164" xfId="0" applyAlignment="1" applyBorder="1" applyFont="1" applyNumberFormat="1">
      <alignment horizontal="center"/>
    </xf>
    <xf borderId="22" fillId="20" fontId="13" numFmtId="0" xfId="0" applyAlignment="1" applyBorder="1" applyFont="1">
      <alignment horizontal="center"/>
    </xf>
    <xf borderId="25" fillId="20" fontId="9" numFmtId="0" xfId="0" applyBorder="1" applyFont="1"/>
    <xf borderId="25" fillId="20" fontId="9" numFmtId="164" xfId="0" applyAlignment="1" applyBorder="1" applyFont="1" applyNumberFormat="1">
      <alignment horizontal="center"/>
    </xf>
    <xf borderId="25" fillId="20" fontId="9" numFmtId="164" xfId="0" applyAlignment="1" applyBorder="1" applyFont="1" applyNumberFormat="1">
      <alignment horizontal="center" vertical="bottom"/>
    </xf>
    <xf borderId="25" fillId="20" fontId="14" numFmtId="164" xfId="0" applyAlignment="1" applyBorder="1" applyFont="1" applyNumberFormat="1">
      <alignment horizontal="center"/>
    </xf>
    <xf borderId="22" fillId="20" fontId="13" numFmtId="0" xfId="0" applyAlignment="1" applyBorder="1" applyFont="1">
      <alignment horizontal="center" vertical="bottom"/>
    </xf>
    <xf borderId="25" fillId="20" fontId="9" numFmtId="0" xfId="0" applyAlignment="1" applyBorder="1" applyFont="1">
      <alignment vertical="bottom"/>
    </xf>
    <xf borderId="22" fillId="20" fontId="9" numFmtId="164" xfId="0" applyAlignment="1" applyBorder="1" applyFont="1" applyNumberFormat="1">
      <alignment horizontal="center" vertical="bottom"/>
    </xf>
    <xf borderId="0" fillId="0" fontId="9" numFmtId="166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6" numFmtId="164" xfId="0" applyAlignment="1" applyFont="1" applyNumberFormat="1">
      <alignment vertical="bottom"/>
    </xf>
    <xf borderId="22" fillId="10" fontId="17" numFmtId="0" xfId="0" applyAlignment="1" applyBorder="1" applyFont="1">
      <alignment horizontal="center" vertical="bottom"/>
    </xf>
    <xf borderId="36" fillId="22" fontId="18" numFmtId="0" xfId="0" applyAlignment="1" applyBorder="1" applyFill="1" applyFont="1">
      <alignment horizontal="center"/>
    </xf>
    <xf borderId="36" fillId="13" fontId="18" numFmtId="0" xfId="0" applyAlignment="1" applyBorder="1" applyFont="1">
      <alignment horizontal="center"/>
    </xf>
    <xf borderId="36" fillId="13" fontId="18" numFmtId="164" xfId="0" applyAlignment="1" applyBorder="1" applyFont="1" applyNumberFormat="1">
      <alignment horizontal="center"/>
    </xf>
    <xf borderId="36" fillId="23" fontId="18" numFmtId="0" xfId="0" applyAlignment="1" applyBorder="1" applyFill="1" applyFont="1">
      <alignment horizontal="center"/>
    </xf>
    <xf borderId="36" fillId="24" fontId="18" numFmtId="0" xfId="0" applyAlignment="1" applyBorder="1" applyFill="1" applyFont="1">
      <alignment horizontal="center"/>
    </xf>
    <xf borderId="36" fillId="10" fontId="18" numFmtId="0" xfId="0" applyAlignment="1" applyBorder="1" applyFont="1">
      <alignment horizontal="center" shrinkToFit="0" wrapText="1"/>
    </xf>
    <xf borderId="36" fillId="7" fontId="16" numFmtId="0" xfId="0" applyAlignment="1" applyBorder="1" applyFont="1">
      <alignment horizontal="center"/>
    </xf>
    <xf borderId="26" fillId="18" fontId="19" numFmtId="49" xfId="0" applyAlignment="1" applyBorder="1" applyFont="1" applyNumberFormat="1">
      <alignment horizontal="center" vertical="bottom"/>
    </xf>
    <xf borderId="26" fillId="18" fontId="19" numFmtId="0" xfId="0" applyAlignment="1" applyBorder="1" applyFont="1">
      <alignment horizontal="center"/>
    </xf>
    <xf borderId="26" fillId="18" fontId="16" numFmtId="0" xfId="0" applyAlignment="1" applyBorder="1" applyFont="1">
      <alignment horizontal="right" vertical="bottom"/>
    </xf>
    <xf borderId="26" fillId="25" fontId="16" numFmtId="164" xfId="0" applyAlignment="1" applyBorder="1" applyFill="1" applyFont="1" applyNumberFormat="1">
      <alignment horizontal="center" vertical="bottom"/>
    </xf>
    <xf borderId="26" fillId="8" fontId="16" numFmtId="164" xfId="0" applyAlignment="1" applyBorder="1" applyFont="1" applyNumberFormat="1">
      <alignment horizontal="right" vertical="bottom"/>
    </xf>
    <xf borderId="26" fillId="8" fontId="16" numFmtId="164" xfId="0" applyAlignment="1" applyBorder="1" applyFont="1" applyNumberFormat="1">
      <alignment vertical="bottom"/>
    </xf>
    <xf borderId="26" fillId="18" fontId="18" numFmtId="164" xfId="0" applyAlignment="1" applyBorder="1" applyFont="1" applyNumberFormat="1">
      <alignment horizontal="right" vertical="bottom"/>
    </xf>
    <xf borderId="26" fillId="18" fontId="16" numFmtId="164" xfId="0" applyAlignment="1" applyBorder="1" applyFont="1" applyNumberFormat="1">
      <alignment horizontal="right" vertical="bottom"/>
    </xf>
    <xf borderId="9" fillId="18" fontId="19" numFmtId="49" xfId="0" applyAlignment="1" applyBorder="1" applyFont="1" applyNumberFormat="1">
      <alignment horizontal="center" vertical="bottom"/>
    </xf>
    <xf borderId="9" fillId="18" fontId="19" numFmtId="0" xfId="0" applyAlignment="1" applyBorder="1" applyFont="1">
      <alignment horizontal="center"/>
    </xf>
    <xf borderId="9" fillId="0" fontId="16" numFmtId="0" xfId="0" applyAlignment="1" applyBorder="1" applyFont="1">
      <alignment horizontal="right" vertical="bottom"/>
    </xf>
    <xf borderId="9" fillId="7" fontId="16" numFmtId="164" xfId="0" applyAlignment="1" applyBorder="1" applyFont="1" applyNumberFormat="1">
      <alignment horizontal="center" vertical="bottom"/>
    </xf>
    <xf borderId="9" fillId="7" fontId="16" numFmtId="0" xfId="0" applyAlignment="1" applyBorder="1" applyFont="1">
      <alignment horizontal="right" vertical="bottom"/>
    </xf>
    <xf borderId="9" fillId="0" fontId="16" numFmtId="164" xfId="0" applyAlignment="1" applyBorder="1" applyFont="1" applyNumberFormat="1">
      <alignment horizontal="right" vertical="bottom"/>
    </xf>
    <xf borderId="9" fillId="0" fontId="18" numFmtId="164" xfId="0" applyAlignment="1" applyBorder="1" applyFont="1" applyNumberFormat="1">
      <alignment horizontal="right" vertical="bottom"/>
    </xf>
    <xf borderId="9" fillId="20" fontId="19" numFmtId="0" xfId="0" applyAlignment="1" applyBorder="1" applyFont="1">
      <alignment horizontal="center"/>
    </xf>
    <xf borderId="9" fillId="7" fontId="16" numFmtId="164" xfId="0" applyAlignment="1" applyBorder="1" applyFont="1" applyNumberFormat="1">
      <alignment horizontal="right" vertical="bottom"/>
    </xf>
    <xf borderId="9" fillId="0" fontId="16" numFmtId="165" xfId="0" applyAlignment="1" applyBorder="1" applyFont="1" applyNumberFormat="1">
      <alignment horizontal="right" vertical="bottom"/>
    </xf>
    <xf borderId="9" fillId="18" fontId="19" numFmtId="49" xfId="0" applyAlignment="1" applyBorder="1" applyFont="1" applyNumberFormat="1">
      <alignment horizontal="center"/>
    </xf>
    <xf borderId="9" fillId="18" fontId="19" numFmtId="0" xfId="0" applyAlignment="1" applyBorder="1" applyFont="1">
      <alignment horizontal="center" vertical="bottom"/>
    </xf>
    <xf borderId="9" fillId="20" fontId="19" numFmtId="0" xfId="0" applyAlignment="1" applyBorder="1" applyFont="1">
      <alignment horizontal="center" vertical="bottom"/>
    </xf>
    <xf borderId="27" fillId="0" fontId="16" numFmtId="164" xfId="0" applyAlignment="1" applyBorder="1" applyFont="1" applyNumberFormat="1">
      <alignment horizontal="right" vertical="bottom"/>
    </xf>
    <xf borderId="9" fillId="18" fontId="16" numFmtId="0" xfId="0" applyAlignment="1" applyBorder="1" applyFont="1">
      <alignment horizontal="right" vertical="bottom"/>
    </xf>
    <xf borderId="9" fillId="18" fontId="16" numFmtId="164" xfId="0" applyAlignment="1" applyBorder="1" applyFont="1" applyNumberFormat="1">
      <alignment horizontal="right" vertical="bottom"/>
    </xf>
    <xf borderId="9" fillId="18" fontId="16" numFmtId="165" xfId="0" applyAlignment="1" applyBorder="1" applyFont="1" applyNumberFormat="1">
      <alignment horizontal="right" vertical="bottom"/>
    </xf>
    <xf borderId="29" fillId="18" fontId="18" numFmtId="164" xfId="0" applyAlignment="1" applyBorder="1" applyFont="1" applyNumberFormat="1">
      <alignment horizontal="right" vertical="bottom"/>
    </xf>
    <xf borderId="27" fillId="18" fontId="16" numFmtId="164" xfId="0" applyAlignment="1" applyBorder="1" applyFont="1" applyNumberFormat="1">
      <alignment horizontal="right" vertical="bottom"/>
    </xf>
    <xf borderId="9" fillId="8" fontId="16" numFmtId="164" xfId="0" applyAlignment="1" applyBorder="1" applyFont="1" applyNumberFormat="1">
      <alignment horizontal="right" vertical="bottom"/>
    </xf>
    <xf borderId="26" fillId="0" fontId="16" numFmtId="164" xfId="0" applyAlignment="1" applyBorder="1" applyFont="1" applyNumberFormat="1">
      <alignment horizontal="right" vertical="bottom"/>
    </xf>
    <xf borderId="9" fillId="0" fontId="19" numFmtId="0" xfId="0" applyAlignment="1" applyBorder="1" applyFont="1">
      <alignment horizontal="center" vertical="bottom"/>
    </xf>
    <xf borderId="9" fillId="0" fontId="19" numFmtId="49" xfId="0" applyAlignment="1" applyBorder="1" applyFont="1" applyNumberFormat="1">
      <alignment horizontal="center" vertical="bottom"/>
    </xf>
    <xf borderId="9" fillId="25" fontId="19" numFmtId="0" xfId="0" applyAlignment="1" applyBorder="1" applyFont="1">
      <alignment horizontal="center" vertical="bottom"/>
    </xf>
    <xf borderId="9" fillId="25" fontId="19" numFmtId="49" xfId="0" applyAlignment="1" applyBorder="1" applyFont="1" applyNumberFormat="1">
      <alignment horizontal="center" vertical="bottom"/>
    </xf>
    <xf borderId="9" fillId="25" fontId="16" numFmtId="0" xfId="0" applyAlignment="1" applyBorder="1" applyFont="1">
      <alignment horizontal="right" vertical="bottom"/>
    </xf>
    <xf borderId="9" fillId="25" fontId="16" numFmtId="164" xfId="0" applyAlignment="1" applyBorder="1" applyFont="1" applyNumberFormat="1">
      <alignment horizontal="center" vertical="bottom"/>
    </xf>
    <xf borderId="9" fillId="25" fontId="16" numFmtId="164" xfId="0" applyAlignment="1" applyBorder="1" applyFont="1" applyNumberFormat="1">
      <alignment vertical="bottom"/>
    </xf>
    <xf borderId="9" fillId="18" fontId="16" numFmtId="0" xfId="0" applyAlignment="1" applyBorder="1" applyFont="1">
      <alignment vertical="bottom"/>
    </xf>
    <xf borderId="9" fillId="18" fontId="16" numFmtId="164" xfId="0" applyAlignment="1" applyBorder="1" applyFont="1" applyNumberFormat="1">
      <alignment vertical="bottom"/>
    </xf>
    <xf borderId="9" fillId="18" fontId="18" numFmtId="164" xfId="0" applyAlignment="1" applyBorder="1" applyFont="1" applyNumberFormat="1">
      <alignment horizontal="right" vertical="bottom"/>
    </xf>
    <xf borderId="9" fillId="25" fontId="19" numFmtId="49" xfId="0" applyAlignment="1" applyBorder="1" applyFont="1" applyNumberFormat="1">
      <alignment horizontal="center"/>
    </xf>
    <xf borderId="9" fillId="25" fontId="19" numFmtId="0" xfId="0" applyAlignment="1" applyBorder="1" applyFont="1">
      <alignment horizontal="center"/>
    </xf>
    <xf borderId="29" fillId="20" fontId="18" numFmtId="0" xfId="0" applyAlignment="1" applyBorder="1" applyFont="1">
      <alignment horizontal="right" shrinkToFit="0" vertical="bottom" wrapText="1"/>
    </xf>
    <xf borderId="29" fillId="20" fontId="16" numFmtId="0" xfId="0" applyAlignment="1" applyBorder="1" applyFont="1">
      <alignment vertical="bottom"/>
    </xf>
    <xf borderId="9" fillId="20" fontId="16" numFmtId="164" xfId="0" applyAlignment="1" applyBorder="1" applyFont="1" applyNumberFormat="1">
      <alignment vertical="bottom"/>
    </xf>
    <xf borderId="9" fillId="20" fontId="18" numFmtId="164" xfId="0" applyAlignment="1" applyBorder="1" applyFont="1" applyNumberFormat="1">
      <alignment horizontal="right" vertical="bottom"/>
    </xf>
    <xf borderId="9" fillId="20" fontId="18" numFmtId="164" xfId="0" applyAlignment="1" applyBorder="1" applyFont="1" applyNumberFormat="1">
      <alignment horizontal="center" vertical="bottom"/>
    </xf>
    <xf borderId="29" fillId="20" fontId="17" numFmtId="164" xfId="0" applyAlignment="1" applyBorder="1" applyFont="1" applyNumberFormat="1">
      <alignment horizontal="right" vertical="bottom"/>
    </xf>
    <xf borderId="0" fillId="0" fontId="16" numFmtId="49" xfId="0" applyAlignment="1" applyFont="1" applyNumberFormat="1">
      <alignment vertical="bottom"/>
    </xf>
    <xf borderId="0" fillId="0" fontId="16" numFmtId="165" xfId="0" applyAlignment="1" applyFont="1" applyNumberFormat="1">
      <alignment vertical="bottom"/>
    </xf>
    <xf borderId="30" fillId="8" fontId="18" numFmtId="0" xfId="0" applyAlignment="1" applyBorder="1" applyFont="1">
      <alignment horizontal="center"/>
    </xf>
    <xf borderId="37" fillId="0" fontId="3" numFmtId="0" xfId="0" applyBorder="1" applyFont="1"/>
    <xf borderId="9" fillId="0" fontId="16" numFmtId="164" xfId="0" applyAlignment="1" applyBorder="1" applyFont="1" applyNumberFormat="1">
      <alignment horizontal="center" vertical="bottom"/>
    </xf>
    <xf borderId="29" fillId="0" fontId="16" numFmtId="0" xfId="0" applyAlignment="1" applyBorder="1" applyFont="1">
      <alignment horizontal="center" vertical="bottom"/>
    </xf>
    <xf borderId="9" fillId="0" fontId="16" numFmtId="165" xfId="0" applyAlignment="1" applyBorder="1" applyFont="1" applyNumberFormat="1">
      <alignment horizontal="center" vertical="bottom"/>
    </xf>
    <xf borderId="38" fillId="0" fontId="3" numFmtId="0" xfId="0" applyBorder="1" applyFont="1"/>
    <xf borderId="39" fillId="0" fontId="3" numFmtId="0" xfId="0" applyBorder="1" applyFont="1"/>
    <xf borderId="29" fillId="0" fontId="16" numFmtId="165" xfId="0" applyAlignment="1" applyBorder="1" applyFont="1" applyNumberFormat="1">
      <alignment horizontal="center" vertical="bottom"/>
    </xf>
    <xf borderId="31" fillId="0" fontId="3" numFmtId="0" xfId="0" applyBorder="1" applyFont="1"/>
    <xf borderId="40" fillId="0" fontId="3" numFmtId="0" xfId="0" applyBorder="1" applyFont="1"/>
    <xf borderId="9" fillId="18" fontId="18" numFmtId="164" xfId="0" applyAlignment="1" applyBorder="1" applyFont="1" applyNumberFormat="1">
      <alignment horizontal="center" vertical="bottom"/>
    </xf>
    <xf borderId="29" fillId="18" fontId="18" numFmtId="0" xfId="0" applyAlignment="1" applyBorder="1" applyFont="1">
      <alignment horizontal="center" vertical="bottom"/>
    </xf>
    <xf borderId="9" fillId="18" fontId="18" numFmtId="0" xfId="0" applyAlignment="1" applyBorder="1" applyFont="1">
      <alignment horizontal="center" vertical="bottom"/>
    </xf>
    <xf borderId="29" fillId="9" fontId="16" numFmtId="0" xfId="0" applyAlignment="1" applyBorder="1" applyFont="1">
      <alignment horizontal="center" vertical="bottom"/>
    </xf>
    <xf borderId="29" fillId="9" fontId="18" numFmtId="164" xfId="0" applyAlignment="1" applyBorder="1" applyFont="1" applyNumberFormat="1">
      <alignment horizontal="center" vertical="bottom"/>
    </xf>
    <xf borderId="0" fillId="0" fontId="16" numFmtId="10" xfId="0" applyAlignment="1" applyFont="1" applyNumberFormat="1">
      <alignment vertical="bottom"/>
    </xf>
    <xf borderId="29" fillId="18" fontId="16" numFmtId="0" xfId="0" applyAlignment="1" applyBorder="1" applyFont="1">
      <alignment vertical="bottom"/>
    </xf>
    <xf borderId="9" fillId="0" fontId="16" numFmtId="164" xfId="0" applyAlignment="1" applyBorder="1" applyFont="1" applyNumberFormat="1">
      <alignment vertical="bottom"/>
    </xf>
    <xf borderId="9" fillId="0" fontId="16" numFmtId="0" xfId="0" applyAlignment="1" applyBorder="1" applyFont="1">
      <alignment vertical="bottom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8" numFmtId="164" xfId="0" applyAlignment="1" applyFont="1" applyNumberFormat="1">
      <alignment horizontal="left" readingOrder="0" shrinkToFit="0" vertical="center" wrapText="1"/>
    </xf>
    <xf borderId="0" fillId="0" fontId="18" numFmtId="49" xfId="0" applyAlignment="1" applyFont="1" applyNumberFormat="1">
      <alignment horizontal="left" readingOrder="0" shrinkToFit="0" vertical="center" wrapText="1"/>
    </xf>
    <xf borderId="0" fillId="0" fontId="18" numFmtId="49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9" fillId="20" fontId="21" numFmtId="0" xfId="0" applyAlignment="1" applyBorder="1" applyFont="1">
      <alignment horizontal="center" shrinkToFit="0" vertical="center" wrapText="1"/>
    </xf>
    <xf borderId="9" fillId="18" fontId="21" numFmtId="0" xfId="0" applyAlignment="1" applyBorder="1" applyFont="1">
      <alignment horizontal="center" shrinkToFit="0" vertical="center" wrapText="1"/>
    </xf>
    <xf borderId="9" fillId="18" fontId="21" numFmtId="0" xfId="0" applyAlignment="1" applyBorder="1" applyFont="1">
      <alignment shrinkToFit="0" vertical="center" wrapText="1"/>
    </xf>
    <xf borderId="9" fillId="18" fontId="21" numFmtId="0" xfId="0" applyAlignment="1" applyBorder="1" applyFont="1">
      <alignment horizontal="center" shrinkToFit="0" vertical="center" wrapText="1"/>
    </xf>
    <xf borderId="9" fillId="18" fontId="21" numFmtId="167" xfId="0" applyAlignment="1" applyBorder="1" applyFont="1" applyNumberFormat="1">
      <alignment horizontal="right" shrinkToFit="0" vertical="center" wrapText="1"/>
    </xf>
    <xf borderId="9" fillId="18" fontId="21" numFmtId="0" xfId="0" applyAlignment="1" applyBorder="1" applyFont="1">
      <alignment horizontal="right" shrinkToFit="0" vertical="center" wrapText="1"/>
    </xf>
    <xf borderId="9" fillId="18" fontId="21" numFmtId="164" xfId="0" applyAlignment="1" applyBorder="1" applyFont="1" applyNumberFormat="1">
      <alignment shrinkToFit="0" vertical="center" wrapText="1"/>
    </xf>
    <xf borderId="9" fillId="18" fontId="21" numFmtId="0" xfId="0" applyAlignment="1" applyBorder="1" applyFont="1">
      <alignment shrinkToFit="0" vertical="center" wrapText="1"/>
    </xf>
    <xf borderId="9" fillId="18" fontId="21" numFmtId="164" xfId="0" applyAlignment="1" applyBorder="1" applyFont="1" applyNumberFormat="1">
      <alignment horizontal="center" shrinkToFit="0" vertical="center" wrapText="1"/>
    </xf>
    <xf borderId="41" fillId="18" fontId="21" numFmtId="164" xfId="0" applyAlignment="1" applyBorder="1" applyFont="1" applyNumberFormat="1">
      <alignment horizontal="center" shrinkToFit="0" vertical="center" wrapText="1"/>
    </xf>
    <xf borderId="9" fillId="26" fontId="21" numFmtId="164" xfId="0" applyAlignment="1" applyBorder="1" applyFill="1" applyFont="1" applyNumberFormat="1">
      <alignment horizontal="center" shrinkToFit="0" vertical="center" wrapText="1"/>
    </xf>
    <xf borderId="9" fillId="18" fontId="22" numFmtId="164" xfId="0" applyAlignment="1" applyBorder="1" applyFont="1" applyNumberFormat="1">
      <alignment horizontal="center" shrinkToFit="0" vertical="center" wrapText="1"/>
    </xf>
    <xf borderId="9" fillId="8" fontId="23" numFmtId="164" xfId="0" applyAlignment="1" applyBorder="1" applyFont="1" applyNumberFormat="1">
      <alignment horizontal="center" shrinkToFit="0" vertical="center" wrapText="1"/>
    </xf>
    <xf borderId="42" fillId="18" fontId="21" numFmtId="164" xfId="0" applyAlignment="1" applyBorder="1" applyFont="1" applyNumberFormat="1">
      <alignment horizontal="center" shrinkToFit="0" vertical="center" wrapText="1"/>
    </xf>
    <xf borderId="43" fillId="26" fontId="21" numFmtId="164" xfId="0" applyAlignment="1" applyBorder="1" applyFont="1" applyNumberFormat="1">
      <alignment horizontal="center" shrinkToFit="0" vertical="center" wrapText="1"/>
    </xf>
    <xf borderId="9" fillId="18" fontId="24" numFmtId="164" xfId="0" applyAlignment="1" applyBorder="1" applyFont="1" applyNumberFormat="1">
      <alignment horizontal="center" shrinkToFit="0" vertical="center" wrapText="0"/>
    </xf>
    <xf borderId="9" fillId="8" fontId="25" numFmtId="164" xfId="0" applyAlignment="1" applyBorder="1" applyFont="1" applyNumberFormat="1">
      <alignment horizontal="center" shrinkToFit="0" vertical="center" wrapText="0"/>
    </xf>
    <xf borderId="44" fillId="8" fontId="21" numFmtId="0" xfId="0" applyAlignment="1" applyBorder="1" applyFont="1">
      <alignment horizontal="center" shrinkToFit="0" vertical="center" wrapText="0"/>
    </xf>
    <xf borderId="9" fillId="8" fontId="26" numFmtId="0" xfId="0" applyAlignment="1" applyBorder="1" applyFont="1">
      <alignment horizontal="center" shrinkToFit="0" vertical="center" wrapText="1"/>
    </xf>
    <xf borderId="9" fillId="8" fontId="26" numFmtId="0" xfId="0" applyAlignment="1" applyBorder="1" applyFont="1">
      <alignment shrinkToFit="0" vertical="center" wrapText="1"/>
    </xf>
    <xf borderId="9" fillId="8" fontId="26" numFmtId="167" xfId="0" applyAlignment="1" applyBorder="1" applyFont="1" applyNumberFormat="1">
      <alignment horizontal="right" shrinkToFit="0" vertical="center" wrapText="1"/>
    </xf>
    <xf borderId="9" fillId="8" fontId="26" numFmtId="0" xfId="0" applyAlignment="1" applyBorder="1" applyFont="1">
      <alignment horizontal="right" shrinkToFit="0" vertical="center" wrapText="0"/>
    </xf>
    <xf borderId="9" fillId="8" fontId="26" numFmtId="164" xfId="0" applyAlignment="1" applyBorder="1" applyFont="1" applyNumberFormat="1">
      <alignment horizontal="center" shrinkToFit="0" vertical="center" wrapText="0"/>
    </xf>
    <xf borderId="9" fillId="8" fontId="26" numFmtId="0" xfId="0" applyAlignment="1" applyBorder="1" applyFont="1">
      <alignment shrinkToFit="0" vertical="center" wrapText="1"/>
    </xf>
    <xf borderId="9" fillId="8" fontId="21" numFmtId="164" xfId="0" applyAlignment="1" applyBorder="1" applyFont="1" applyNumberFormat="1">
      <alignment horizontal="center" shrinkToFit="0" vertical="center" wrapText="1"/>
    </xf>
    <xf borderId="45" fillId="8" fontId="21" numFmtId="164" xfId="0" applyAlignment="1" applyBorder="1" applyFont="1" applyNumberFormat="1">
      <alignment horizontal="center" shrinkToFit="0" vertical="center" wrapText="1"/>
    </xf>
    <xf borderId="46" fillId="8" fontId="16" numFmtId="164" xfId="0" applyAlignment="1" applyBorder="1" applyFont="1" applyNumberFormat="1">
      <alignment shrinkToFit="0" vertical="center" wrapText="0"/>
    </xf>
    <xf borderId="9" fillId="8" fontId="16" numFmtId="0" xfId="0" applyAlignment="1" applyBorder="1" applyFont="1">
      <alignment shrinkToFit="0" vertical="center" wrapText="0"/>
    </xf>
    <xf borderId="9" fillId="8" fontId="16" numFmtId="164" xfId="0" applyAlignment="1" applyBorder="1" applyFont="1" applyNumberFormat="1">
      <alignment shrinkToFit="0" vertical="center" wrapText="0"/>
    </xf>
    <xf borderId="9" fillId="8" fontId="27" numFmtId="168" xfId="0" applyAlignment="1" applyBorder="1" applyFont="1" applyNumberFormat="1">
      <alignment horizontal="center" shrinkToFit="0" vertical="center" wrapText="0"/>
    </xf>
    <xf borderId="9" fillId="8" fontId="27" numFmtId="0" xfId="0" applyAlignment="1" applyBorder="1" applyFont="1">
      <alignment shrinkToFit="0" vertical="center" wrapText="0"/>
    </xf>
    <xf borderId="9" fillId="8" fontId="26" numFmtId="0" xfId="0" applyAlignment="1" applyBorder="1" applyFont="1">
      <alignment horizontal="center" shrinkToFit="0" vertical="center" wrapText="1"/>
    </xf>
    <xf borderId="9" fillId="8" fontId="26" numFmtId="0" xfId="0" applyAlignment="1" applyBorder="1" applyFont="1">
      <alignment shrinkToFit="0" vertical="center" wrapText="0"/>
    </xf>
    <xf borderId="9" fillId="8" fontId="26" numFmtId="167" xfId="0" applyAlignment="1" applyBorder="1" applyFont="1" applyNumberFormat="1">
      <alignment horizontal="right" shrinkToFit="0" vertical="center" wrapText="0"/>
    </xf>
    <xf borderId="9" fillId="8" fontId="28" numFmtId="164" xfId="0" applyAlignment="1" applyBorder="1" applyFont="1" applyNumberFormat="1">
      <alignment horizontal="center" shrinkToFit="0" vertical="center" wrapText="0"/>
    </xf>
    <xf borderId="9" fillId="8" fontId="21" numFmtId="0" xfId="0" applyAlignment="1" applyBorder="1" applyFont="1">
      <alignment horizontal="center" shrinkToFit="0" vertical="center" wrapText="1"/>
    </xf>
    <xf borderId="44" fillId="18" fontId="21" numFmtId="0" xfId="0" applyAlignment="1" applyBorder="1" applyFont="1">
      <alignment horizontal="center" shrinkToFit="0" vertical="center" wrapText="0"/>
    </xf>
    <xf borderId="9" fillId="18" fontId="27" numFmtId="168" xfId="0" applyAlignment="1" applyBorder="1" applyFont="1" applyNumberFormat="1">
      <alignment horizontal="center" shrinkToFit="0" vertical="center" wrapText="0"/>
    </xf>
    <xf borderId="9" fillId="18" fontId="27" numFmtId="0" xfId="0" applyAlignment="1" applyBorder="1" applyFont="1">
      <alignment shrinkToFit="0" vertical="center" wrapText="0"/>
    </xf>
    <xf borderId="9" fillId="18" fontId="26" numFmtId="0" xfId="0" applyAlignment="1" applyBorder="1" applyFont="1">
      <alignment horizontal="center" shrinkToFit="0" vertical="center" wrapText="1"/>
    </xf>
    <xf borderId="9" fillId="18" fontId="26" numFmtId="0" xfId="0" applyAlignment="1" applyBorder="1" applyFont="1">
      <alignment horizontal="center" shrinkToFit="0" vertical="center" wrapText="1"/>
    </xf>
    <xf borderId="9" fillId="18" fontId="26" numFmtId="0" xfId="0" applyAlignment="1" applyBorder="1" applyFont="1">
      <alignment shrinkToFit="0" vertical="center" wrapText="0"/>
    </xf>
    <xf borderId="9" fillId="18" fontId="26" numFmtId="167" xfId="0" applyAlignment="1" applyBorder="1" applyFont="1" applyNumberFormat="1">
      <alignment horizontal="right" shrinkToFit="0" vertical="center" wrapText="0"/>
    </xf>
    <xf borderId="9" fillId="18" fontId="26" numFmtId="0" xfId="0" applyAlignment="1" applyBorder="1" applyFont="1">
      <alignment horizontal="right" shrinkToFit="0" vertical="center" wrapText="0"/>
    </xf>
    <xf borderId="9" fillId="18" fontId="28" numFmtId="164" xfId="0" applyAlignment="1" applyBorder="1" applyFont="1" applyNumberFormat="1">
      <alignment horizontal="center" shrinkToFit="0" vertical="center" wrapText="0"/>
    </xf>
    <xf borderId="45" fillId="18" fontId="21" numFmtId="164" xfId="0" applyAlignment="1" applyBorder="1" applyFont="1" applyNumberFormat="1">
      <alignment horizontal="center" shrinkToFit="0" vertical="center" wrapText="1"/>
    </xf>
    <xf borderId="46" fillId="18" fontId="16" numFmtId="164" xfId="0" applyAlignment="1" applyBorder="1" applyFont="1" applyNumberFormat="1">
      <alignment shrinkToFit="0" vertical="center" wrapText="0"/>
    </xf>
    <xf borderId="9" fillId="18" fontId="16" numFmtId="0" xfId="0" applyAlignment="1" applyBorder="1" applyFont="1">
      <alignment shrinkToFit="0" vertical="center" wrapText="0"/>
    </xf>
    <xf borderId="9" fillId="18" fontId="16" numFmtId="164" xfId="0" applyAlignment="1" applyBorder="1" applyFont="1" applyNumberFormat="1">
      <alignment shrinkToFit="0" vertical="center" wrapText="0"/>
    </xf>
    <xf borderId="9" fillId="18" fontId="23" numFmtId="164" xfId="0" applyAlignment="1" applyBorder="1" applyFont="1" applyNumberFormat="1">
      <alignment horizontal="center" shrinkToFit="0" vertical="center" wrapText="1"/>
    </xf>
    <xf borderId="9" fillId="20" fontId="21" numFmtId="0" xfId="0" applyAlignment="1" applyBorder="1" applyFont="1">
      <alignment horizontal="center" shrinkToFit="0" vertical="center" wrapText="0"/>
    </xf>
    <xf borderId="45" fillId="8" fontId="21" numFmtId="0" xfId="0" applyAlignment="1" applyBorder="1" applyFont="1">
      <alignment horizontal="center" shrinkToFit="0" vertical="center" wrapText="0"/>
    </xf>
    <xf borderId="45" fillId="8" fontId="21" numFmtId="0" xfId="0" applyAlignment="1" applyBorder="1" applyFont="1">
      <alignment shrinkToFit="0" vertical="center" wrapText="1"/>
    </xf>
    <xf borderId="45" fillId="8" fontId="21" numFmtId="0" xfId="0" applyAlignment="1" applyBorder="1" applyFont="1">
      <alignment horizontal="center" shrinkToFit="0" vertical="center" wrapText="1"/>
    </xf>
    <xf borderId="45" fillId="8" fontId="16" numFmtId="0" xfId="0" applyAlignment="1" applyBorder="1" applyFont="1">
      <alignment shrinkToFit="0" vertical="center" wrapText="0"/>
    </xf>
    <xf borderId="45" fillId="8" fontId="16" numFmtId="167" xfId="0" applyAlignment="1" applyBorder="1" applyFont="1" applyNumberFormat="1">
      <alignment shrinkToFit="0" vertical="center" wrapText="0"/>
    </xf>
    <xf borderId="45" fillId="8" fontId="16" numFmtId="0" xfId="0" applyAlignment="1" applyBorder="1" applyFont="1">
      <alignment shrinkToFit="0" vertical="center" wrapText="0"/>
    </xf>
    <xf borderId="45" fillId="8" fontId="16" numFmtId="164" xfId="0" applyAlignment="1" applyBorder="1" applyFont="1" applyNumberFormat="1">
      <alignment shrinkToFit="0" vertical="center" wrapText="0"/>
    </xf>
    <xf borderId="47" fillId="8" fontId="21" numFmtId="164" xfId="0" applyAlignment="1" applyBorder="1" applyFont="1" applyNumberFormat="1">
      <alignment horizontal="center" shrinkToFit="0" vertical="center" wrapText="1"/>
    </xf>
    <xf borderId="42" fillId="18" fontId="21" numFmtId="0" xfId="0" applyAlignment="1" applyBorder="1" applyFont="1">
      <alignment horizontal="center" shrinkToFit="0" vertical="center" wrapText="1"/>
    </xf>
    <xf borderId="25" fillId="18" fontId="21" numFmtId="0" xfId="0" applyAlignment="1" applyBorder="1" applyFont="1">
      <alignment horizontal="center" shrinkToFit="0" vertical="center" wrapText="0"/>
    </xf>
    <xf borderId="25" fillId="18" fontId="21" numFmtId="0" xfId="0" applyAlignment="1" applyBorder="1" applyFont="1">
      <alignment shrinkToFit="0" vertical="center" wrapText="0"/>
    </xf>
    <xf borderId="25" fillId="7" fontId="27" numFmtId="0" xfId="0" applyAlignment="1" applyBorder="1" applyFont="1">
      <alignment horizontal="center" shrinkToFit="0" vertical="center" wrapText="1"/>
    </xf>
    <xf borderId="25" fillId="18" fontId="21" numFmtId="0" xfId="0" applyAlignment="1" applyBorder="1" applyFont="1">
      <alignment shrinkToFit="0" vertical="center" wrapText="1"/>
    </xf>
    <xf borderId="25" fillId="18" fontId="29" numFmtId="167" xfId="0" applyAlignment="1" applyBorder="1" applyFont="1" applyNumberFormat="1">
      <alignment horizontal="right" shrinkToFit="0" vertical="center" wrapText="0"/>
    </xf>
    <xf borderId="25" fillId="18" fontId="21" numFmtId="0" xfId="0" applyAlignment="1" applyBorder="1" applyFont="1">
      <alignment horizontal="right" shrinkToFit="0" vertical="center" wrapText="0"/>
    </xf>
    <xf borderId="25" fillId="18" fontId="27" numFmtId="164" xfId="0" applyAlignment="1" applyBorder="1" applyFont="1" applyNumberFormat="1">
      <alignment shrinkToFit="0" vertical="center" wrapText="0"/>
    </xf>
    <xf borderId="25" fillId="18" fontId="29" numFmtId="0" xfId="0" applyAlignment="1" applyBorder="1" applyFont="1">
      <alignment shrinkToFit="0" vertical="center" wrapText="1"/>
    </xf>
    <xf borderId="25" fillId="18" fontId="29" numFmtId="164" xfId="0" applyAlignment="1" applyBorder="1" applyFont="1" applyNumberFormat="1">
      <alignment horizontal="right" shrinkToFit="0" vertical="center" wrapText="0"/>
    </xf>
    <xf borderId="48" fillId="18" fontId="21" numFmtId="0" xfId="0" applyAlignment="1" applyBorder="1" applyFont="1">
      <alignment horizontal="center" shrinkToFit="0" vertical="center" wrapText="1"/>
    </xf>
    <xf borderId="48" fillId="18" fontId="21" numFmtId="0" xfId="0" applyAlignment="1" applyBorder="1" applyFont="1">
      <alignment shrinkToFit="0" vertical="center" wrapText="1"/>
    </xf>
    <xf borderId="48" fillId="18" fontId="21" numFmtId="0" xfId="0" applyAlignment="1" applyBorder="1" applyFont="1">
      <alignment horizontal="center" shrinkToFit="0" vertical="center" wrapText="1"/>
    </xf>
    <xf borderId="48" fillId="18" fontId="21" numFmtId="167" xfId="0" applyAlignment="1" applyBorder="1" applyFont="1" applyNumberFormat="1">
      <alignment horizontal="right" shrinkToFit="0" vertical="center" wrapText="1"/>
    </xf>
    <xf borderId="48" fillId="18" fontId="21" numFmtId="0" xfId="0" applyAlignment="1" applyBorder="1" applyFont="1">
      <alignment horizontal="right" shrinkToFit="0" vertical="center" wrapText="1"/>
    </xf>
    <xf borderId="48" fillId="18" fontId="21" numFmtId="164" xfId="0" applyAlignment="1" applyBorder="1" applyFont="1" applyNumberFormat="1">
      <alignment shrinkToFit="0" vertical="center" wrapText="1"/>
    </xf>
    <xf borderId="48" fillId="18" fontId="21" numFmtId="0" xfId="0" applyAlignment="1" applyBorder="1" applyFont="1">
      <alignment shrinkToFit="0" vertical="center" wrapText="1"/>
    </xf>
    <xf borderId="49" fillId="7" fontId="21" numFmtId="164" xfId="0" applyAlignment="1" applyBorder="1" applyFont="1" applyNumberFormat="1">
      <alignment horizontal="center" shrinkToFit="0" vertical="center" wrapText="1"/>
    </xf>
    <xf borderId="9" fillId="7" fontId="23" numFmtId="164" xfId="0" applyAlignment="1" applyBorder="1" applyFont="1" applyNumberFormat="1">
      <alignment horizontal="center" shrinkToFit="0" vertical="center" wrapText="1"/>
    </xf>
    <xf borderId="9" fillId="18" fontId="30" numFmtId="164" xfId="0" applyAlignment="1" applyBorder="1" applyFont="1" applyNumberFormat="1">
      <alignment shrinkToFit="0" vertical="center" wrapText="1"/>
    </xf>
    <xf borderId="50" fillId="18" fontId="16" numFmtId="164" xfId="0" applyAlignment="1" applyBorder="1" applyFont="1" applyNumberFormat="1">
      <alignment horizontal="center" shrinkToFit="0" vertical="center" wrapText="0"/>
    </xf>
    <xf borderId="9" fillId="18" fontId="30" numFmtId="0" xfId="0" applyAlignment="1" applyBorder="1" applyFont="1">
      <alignment horizontal="center" shrinkToFit="0" vertical="center" wrapText="1"/>
    </xf>
    <xf borderId="9" fillId="27" fontId="21" numFmtId="0" xfId="0" applyAlignment="1" applyBorder="1" applyFill="1" applyFont="1">
      <alignment shrinkToFit="0" vertical="center" wrapText="1"/>
    </xf>
    <xf borderId="51" fillId="7" fontId="21" numFmtId="164" xfId="0" applyAlignment="1" applyBorder="1" applyFont="1" applyNumberFormat="1">
      <alignment horizontal="center" shrinkToFit="0" vertical="center" wrapText="1"/>
    </xf>
    <xf borderId="9" fillId="27" fontId="21" numFmtId="0" xfId="0" applyAlignment="1" applyBorder="1" applyFont="1">
      <alignment horizontal="center" shrinkToFit="0" vertical="center" wrapText="1"/>
    </xf>
    <xf borderId="41" fillId="18" fontId="21" numFmtId="0" xfId="0" applyAlignment="1" applyBorder="1" applyFont="1">
      <alignment horizontal="center" shrinkToFit="0" vertical="center" wrapText="0"/>
    </xf>
    <xf borderId="41" fillId="18" fontId="21" numFmtId="169" xfId="0" applyAlignment="1" applyBorder="1" applyFont="1" applyNumberFormat="1">
      <alignment horizontal="center" shrinkToFit="0" vertical="center" wrapText="0"/>
    </xf>
    <xf borderId="41" fillId="18" fontId="21" numFmtId="0" xfId="0" applyAlignment="1" applyBorder="1" applyFont="1">
      <alignment shrinkToFit="0" vertical="center" wrapText="1"/>
    </xf>
    <xf borderId="41" fillId="18" fontId="21" numFmtId="0" xfId="0" applyAlignment="1" applyBorder="1" applyFont="1">
      <alignment horizontal="center" shrinkToFit="0" vertical="center" wrapText="1"/>
    </xf>
    <xf borderId="41" fillId="18" fontId="21" numFmtId="0" xfId="0" applyAlignment="1" applyBorder="1" applyFont="1">
      <alignment horizontal="center" shrinkToFit="0" vertical="center" wrapText="1"/>
    </xf>
    <xf borderId="41" fillId="18" fontId="21" numFmtId="167" xfId="0" applyAlignment="1" applyBorder="1" applyFont="1" applyNumberFormat="1">
      <alignment horizontal="right" shrinkToFit="0" vertical="center" wrapText="1"/>
    </xf>
    <xf borderId="41" fillId="18" fontId="21" numFmtId="0" xfId="0" applyAlignment="1" applyBorder="1" applyFont="1">
      <alignment horizontal="right" shrinkToFit="0" vertical="center" wrapText="1"/>
    </xf>
    <xf borderId="41" fillId="18" fontId="21" numFmtId="164" xfId="0" applyAlignment="1" applyBorder="1" applyFont="1" applyNumberFormat="1">
      <alignment shrinkToFit="0" vertical="center" wrapText="1"/>
    </xf>
    <xf borderId="41" fillId="18" fontId="21" numFmtId="0" xfId="0" applyAlignment="1" applyBorder="1" applyFont="1">
      <alignment shrinkToFit="0" vertical="center" wrapText="1"/>
    </xf>
    <xf borderId="52" fillId="7" fontId="21" numFmtId="164" xfId="0" applyAlignment="1" applyBorder="1" applyFont="1" applyNumberFormat="1">
      <alignment horizontal="center" shrinkToFit="0" vertical="center" wrapText="0"/>
    </xf>
    <xf borderId="53" fillId="26" fontId="21" numFmtId="164" xfId="0" applyAlignment="1" applyBorder="1" applyFont="1" applyNumberFormat="1">
      <alignment horizontal="center" shrinkToFit="0" vertical="center" wrapText="0"/>
    </xf>
    <xf borderId="41" fillId="18" fontId="22" numFmtId="164" xfId="0" applyAlignment="1" applyBorder="1" applyFont="1" applyNumberFormat="1">
      <alignment horizontal="center" shrinkToFit="0" vertical="center" wrapText="1"/>
    </xf>
    <xf borderId="54" fillId="7" fontId="23" numFmtId="164" xfId="0" applyAlignment="1" applyBorder="1" applyFont="1" applyNumberFormat="1">
      <alignment horizontal="center" shrinkToFit="0" vertical="center" wrapText="1"/>
    </xf>
    <xf borderId="25" fillId="27" fontId="21" numFmtId="0" xfId="0" applyAlignment="1" applyBorder="1" applyFont="1">
      <alignment horizontal="center" shrinkToFit="0" vertical="center" wrapText="0"/>
    </xf>
    <xf borderId="25" fillId="18" fontId="21" numFmtId="0" xfId="0" applyAlignment="1" applyBorder="1" applyFont="1">
      <alignment horizontal="center" shrinkToFit="0" vertical="center" wrapText="1"/>
    </xf>
    <xf borderId="25" fillId="18" fontId="21" numFmtId="0" xfId="0" applyAlignment="1" applyBorder="1" applyFont="1">
      <alignment horizontal="center" shrinkToFit="0" vertical="center" wrapText="0"/>
    </xf>
    <xf borderId="25" fillId="18" fontId="21" numFmtId="167" xfId="0" applyAlignment="1" applyBorder="1" applyFont="1" applyNumberFormat="1">
      <alignment horizontal="right" shrinkToFit="0" vertical="center" wrapText="0"/>
    </xf>
    <xf borderId="25" fillId="18" fontId="21" numFmtId="164" xfId="0" applyAlignment="1" applyBorder="1" applyFont="1" applyNumberFormat="1">
      <alignment shrinkToFit="0" vertical="center" wrapText="0"/>
    </xf>
    <xf borderId="25" fillId="18" fontId="21" numFmtId="0" xfId="0" applyAlignment="1" applyBorder="1" applyFont="1">
      <alignment shrinkToFit="0" vertical="center" wrapText="1"/>
    </xf>
    <xf borderId="25" fillId="26" fontId="21" numFmtId="164" xfId="0" applyAlignment="1" applyBorder="1" applyFont="1" applyNumberFormat="1">
      <alignment horizontal="center" shrinkToFit="0" vertical="center" wrapText="0"/>
    </xf>
    <xf borderId="25" fillId="18" fontId="22" numFmtId="164" xfId="0" applyAlignment="1" applyBorder="1" applyFont="1" applyNumberFormat="1">
      <alignment horizontal="center" shrinkToFit="0" vertical="center" wrapText="1"/>
    </xf>
    <xf borderId="25" fillId="8" fontId="23" numFmtId="164" xfId="0" applyAlignment="1" applyBorder="1" applyFont="1" applyNumberFormat="1">
      <alignment horizontal="center" shrinkToFit="0" vertical="center" wrapText="1"/>
    </xf>
    <xf borderId="55" fillId="18" fontId="21" numFmtId="164" xfId="0" applyAlignment="1" applyBorder="1" applyFont="1" applyNumberFormat="1">
      <alignment horizontal="center" shrinkToFit="0" vertical="center" wrapText="1"/>
    </xf>
    <xf borderId="56" fillId="26" fontId="21" numFmtId="164" xfId="0" applyAlignment="1" applyBorder="1" applyFont="1" applyNumberFormat="1">
      <alignment horizontal="center" shrinkToFit="0" vertical="center" wrapText="1"/>
    </xf>
    <xf borderId="48" fillId="18" fontId="22" numFmtId="164" xfId="0" applyAlignment="1" applyBorder="1" applyFont="1" applyNumberFormat="1">
      <alignment horizontal="center" shrinkToFit="0" vertical="center" wrapText="0"/>
    </xf>
    <xf borderId="57" fillId="8" fontId="23" numFmtId="164" xfId="0" applyAlignment="1" applyBorder="1" applyFont="1" applyNumberFormat="1">
      <alignment horizontal="center" shrinkToFit="0" vertical="center" wrapText="0"/>
    </xf>
    <xf borderId="9" fillId="18" fontId="22" numFmtId="164" xfId="0" applyAlignment="1" applyBorder="1" applyFont="1" applyNumberFormat="1">
      <alignment horizontal="center" shrinkToFit="0" vertical="center" wrapText="0"/>
    </xf>
    <xf borderId="9" fillId="8" fontId="23" numFmtId="164" xfId="0" applyAlignment="1" applyBorder="1" applyFont="1" applyNumberFormat="1">
      <alignment horizontal="center" shrinkToFit="0" vertical="center" wrapText="0"/>
    </xf>
    <xf borderId="9" fillId="18" fontId="21" numFmtId="170" xfId="0" applyAlignment="1" applyBorder="1" applyFont="1" applyNumberFormat="1">
      <alignment horizontal="right" shrinkToFit="0" vertical="center" wrapText="1"/>
    </xf>
    <xf borderId="50" fillId="18" fontId="21" numFmtId="164" xfId="0" applyAlignment="1" applyBorder="1" applyFont="1" applyNumberFormat="1">
      <alignment horizontal="center" shrinkToFit="0" vertical="center" wrapText="0"/>
    </xf>
    <xf borderId="9" fillId="8" fontId="23" numFmtId="164" xfId="0" applyAlignment="1" applyBorder="1" applyFont="1" applyNumberFormat="1">
      <alignment horizontal="center" shrinkToFit="0" vertical="center" wrapText="0"/>
    </xf>
    <xf borderId="9" fillId="7" fontId="23" numFmtId="164" xfId="0" applyAlignment="1" applyBorder="1" applyFont="1" applyNumberFormat="1">
      <alignment horizontal="center" shrinkToFit="0" vertical="center" wrapText="0"/>
    </xf>
    <xf borderId="52" fillId="7" fontId="21" numFmtId="164" xfId="0" applyAlignment="1" applyBorder="1" applyFont="1" applyNumberFormat="1">
      <alignment horizontal="center" shrinkToFit="0" vertical="center" wrapText="1"/>
    </xf>
    <xf borderId="42" fillId="18" fontId="21" numFmtId="0" xfId="0" applyAlignment="1" applyBorder="1" applyFont="1">
      <alignment shrinkToFit="0" vertical="center" wrapText="1"/>
    </xf>
    <xf borderId="25" fillId="7" fontId="16" numFmtId="164" xfId="0" applyAlignment="1" applyBorder="1" applyFont="1" applyNumberFormat="1">
      <alignment horizontal="center" shrinkToFit="0" vertical="center" wrapText="0"/>
    </xf>
    <xf borderId="25" fillId="18" fontId="21" numFmtId="164" xfId="0" applyAlignment="1" applyBorder="1" applyFont="1" applyNumberFormat="1">
      <alignment horizontal="center" shrinkToFit="0" vertical="center" wrapText="1"/>
    </xf>
    <xf borderId="9" fillId="8" fontId="21" numFmtId="0" xfId="0" applyAlignment="1" applyBorder="1" applyFont="1">
      <alignment shrinkToFit="0" vertical="center" wrapText="1"/>
    </xf>
    <xf borderId="48" fillId="18" fontId="21" numFmtId="164" xfId="0" applyAlignment="1" applyBorder="1" applyFont="1" applyNumberFormat="1">
      <alignment horizontal="center" shrinkToFit="0" vertical="center" wrapText="1"/>
    </xf>
    <xf borderId="48" fillId="18" fontId="16" numFmtId="164" xfId="0" applyAlignment="1" applyBorder="1" applyFont="1" applyNumberFormat="1">
      <alignment shrinkToFit="0" vertical="center" wrapText="0"/>
    </xf>
    <xf borderId="58" fillId="18" fontId="16" numFmtId="0" xfId="0" applyAlignment="1" applyBorder="1" applyFont="1">
      <alignment shrinkToFit="0" vertical="center" wrapText="0"/>
    </xf>
    <xf borderId="50" fillId="18" fontId="16" numFmtId="0" xfId="0" applyAlignment="1" applyBorder="1" applyFont="1">
      <alignment shrinkToFit="0" vertical="center" wrapText="0"/>
    </xf>
    <xf borderId="50" fillId="18" fontId="16" numFmtId="0" xfId="0" applyAlignment="1" applyBorder="1" applyFont="1">
      <alignment shrinkToFit="0" vertical="center" wrapText="0"/>
    </xf>
    <xf borderId="50" fillId="18" fontId="16" numFmtId="167" xfId="0" applyAlignment="1" applyBorder="1" applyFont="1" applyNumberFormat="1">
      <alignment shrinkToFit="0" vertical="center" wrapText="0"/>
    </xf>
    <xf borderId="50" fillId="18" fontId="16" numFmtId="0" xfId="0" applyAlignment="1" applyBorder="1" applyFont="1">
      <alignment shrinkToFit="0" vertical="center" wrapText="0"/>
    </xf>
    <xf borderId="50" fillId="18" fontId="16" numFmtId="164" xfId="0" applyAlignment="1" applyBorder="1" applyFont="1" applyNumberFormat="1">
      <alignment shrinkToFit="0" vertical="center" wrapText="0"/>
    </xf>
    <xf borderId="50" fillId="18" fontId="16" numFmtId="164" xfId="0" applyAlignment="1" applyBorder="1" applyFont="1" applyNumberFormat="1">
      <alignment shrinkToFit="0" vertical="center" wrapText="0"/>
    </xf>
    <xf borderId="9" fillId="20" fontId="21" numFmtId="0" xfId="0" applyAlignment="1" applyBorder="1" applyFont="1">
      <alignment horizontal="center" shrinkToFit="0" vertical="center" wrapText="1"/>
    </xf>
    <xf borderId="9" fillId="20" fontId="21" numFmtId="164" xfId="0" applyAlignment="1" applyBorder="1" applyFont="1" applyNumberFormat="1">
      <alignment shrinkToFit="0" vertical="center" wrapText="1"/>
    </xf>
    <xf borderId="9" fillId="20" fontId="21" numFmtId="164" xfId="0" applyAlignment="1" applyBorder="1" applyFont="1" applyNumberFormat="1">
      <alignment horizontal="center" shrinkToFit="0" vertical="center" wrapText="1"/>
    </xf>
    <xf borderId="59" fillId="18" fontId="16" numFmtId="164" xfId="0" applyAlignment="1" applyBorder="1" applyFont="1" applyNumberFormat="1">
      <alignment shrinkToFit="0" vertical="center" wrapText="0"/>
    </xf>
    <xf borderId="9" fillId="27" fontId="21" numFmtId="0" xfId="0" applyAlignment="1" applyBorder="1" applyFont="1">
      <alignment horizontal="center" shrinkToFit="0" vertical="center" wrapText="1"/>
    </xf>
    <xf borderId="9" fillId="18" fontId="21" numFmtId="164" xfId="0" applyAlignment="1" applyBorder="1" applyFont="1" applyNumberFormat="1">
      <alignment horizontal="right" shrinkToFit="0" vertical="center" wrapText="1"/>
    </xf>
    <xf borderId="9" fillId="9" fontId="21" numFmtId="0" xfId="0" applyAlignment="1" applyBorder="1" applyFont="1">
      <alignment horizontal="center" shrinkToFit="0" vertical="center" wrapText="1"/>
    </xf>
    <xf borderId="9" fillId="9" fontId="21" numFmtId="164" xfId="0" applyAlignment="1" applyBorder="1" applyFont="1" applyNumberFormat="1">
      <alignment horizontal="right" shrinkToFit="0" vertical="center" wrapText="1"/>
    </xf>
    <xf borderId="9" fillId="9" fontId="21" numFmtId="164" xfId="0" applyAlignment="1" applyBorder="1" applyFont="1" applyNumberFormat="1">
      <alignment horizontal="center" shrinkToFit="0" vertical="center" wrapText="1"/>
    </xf>
    <xf borderId="60" fillId="18" fontId="16" numFmtId="0" xfId="0" applyAlignment="1" applyBorder="1" applyFont="1">
      <alignment shrinkToFit="0" vertical="center" wrapText="0"/>
    </xf>
    <xf borderId="61" fillId="18" fontId="16" numFmtId="0" xfId="0" applyAlignment="1" applyBorder="1" applyFont="1">
      <alignment shrinkToFit="0" vertical="center" wrapText="0"/>
    </xf>
    <xf borderId="61" fillId="18" fontId="16" numFmtId="0" xfId="0" applyAlignment="1" applyBorder="1" applyFont="1">
      <alignment shrinkToFit="0" vertical="center" wrapText="0"/>
    </xf>
    <xf borderId="61" fillId="18" fontId="16" numFmtId="167" xfId="0" applyAlignment="1" applyBorder="1" applyFont="1" applyNumberFormat="1">
      <alignment shrinkToFit="0" vertical="center" wrapText="0"/>
    </xf>
    <xf borderId="61" fillId="18" fontId="16" numFmtId="164" xfId="0" applyAlignment="1" applyBorder="1" applyFont="1" applyNumberFormat="1">
      <alignment shrinkToFit="0" vertical="center" wrapText="0"/>
    </xf>
    <xf borderId="61" fillId="18" fontId="16" numFmtId="164" xfId="0" applyAlignment="1" applyBorder="1" applyFont="1" applyNumberFormat="1">
      <alignment shrinkToFit="0" vertical="center" wrapText="0"/>
    </xf>
    <xf borderId="62" fillId="18" fontId="16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TRATOS SERVIÇOS ESSENCIA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'controle de descentralizações'!$B$4:$B$5</c:f>
            </c:strRef>
          </c:tx>
          <c:spPr>
            <a:solidFill>
              <a:srgbClr val="FFF2CC"/>
            </a:solidFill>
            <a:ln cmpd="sng" w="9525">
              <a:noFill/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descentralizações'!$B$6</c:f>
              <c:numCache/>
            </c:numRef>
          </c:val>
        </c:ser>
        <c:ser>
          <c:idx val="1"/>
          <c:order val="1"/>
          <c:tx>
            <c:strRef>
              <c:f>'controle de descentralizações'!$C$4:$C$5</c:f>
            </c:strRef>
          </c:tx>
          <c:spPr>
            <a:solidFill>
              <a:srgbClr val="D9EAD3"/>
            </a:solidFill>
            <a:ln cmpd="sng" w="9525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descentralizações'!$C$6</c:f>
              <c:numCache/>
            </c:numRef>
          </c:val>
        </c:ser>
        <c:ser>
          <c:idx val="2"/>
          <c:order val="2"/>
          <c:tx>
            <c:strRef>
              <c:f>'controle de descentralizações'!$D$4:$D$5</c:f>
            </c:strRef>
          </c:tx>
          <c:spPr>
            <a:solidFill>
              <a:srgbClr val="EA9999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descentralizações'!$D$6</c:f>
              <c:numCache/>
            </c:numRef>
          </c:val>
        </c:ser>
        <c:axId val="1923133702"/>
        <c:axId val="194867626"/>
      </c:bar3DChart>
      <c:catAx>
        <c:axId val="1923133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67626"/>
      </c:catAx>
      <c:valAx>
        <c:axId val="194867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133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17532873819040698"/>
          <c:y val="0.1307277628032345"/>
          <c:w val="0.7977090525072675"/>
          <c:h val="0.803099730458221"/>
        </c:manualLayout>
      </c:layout>
      <c:bar3DChart>
        <c:barDir val="col"/>
        <c:grouping val="clustered"/>
        <c:ser>
          <c:idx val="0"/>
          <c:order val="0"/>
          <c:tx>
            <c:strRef>
              <c:f>'controle de descentralizações'!$E$4:$E$5</c:f>
            </c:strRef>
          </c:tx>
          <c:spPr>
            <a:solidFill>
              <a:srgbClr val="FFF2C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descentralizações'!$E$6</c:f>
              <c:numCache/>
            </c:numRef>
          </c:val>
        </c:ser>
        <c:ser>
          <c:idx val="1"/>
          <c:order val="1"/>
          <c:tx>
            <c:strRef>
              <c:f>'controle de descentralizações'!$F$4:$F$5</c:f>
            </c:strRef>
          </c:tx>
          <c:spPr>
            <a:solidFill>
              <a:srgbClr val="D9EAD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descentralizações'!$F$6</c:f>
              <c:numCache/>
            </c:numRef>
          </c:val>
        </c:ser>
        <c:ser>
          <c:idx val="2"/>
          <c:order val="2"/>
          <c:tx>
            <c:strRef>
              <c:f>'controle de descentralizações'!$G$4:$G$5</c:f>
            </c:strRef>
          </c:tx>
          <c:spPr>
            <a:solidFill>
              <a:srgbClr val="EA9999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descentralizações'!$G$6</c:f>
              <c:numCache/>
            </c:numRef>
          </c:val>
        </c:ser>
        <c:axId val="2097325207"/>
        <c:axId val="282011945"/>
      </c:bar3DChart>
      <c:catAx>
        <c:axId val="2097325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011945"/>
      </c:catAx>
      <c:valAx>
        <c:axId val="282011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325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'controle de descentralizações'!$H$5</c:f>
            </c:strRef>
          </c:tx>
          <c:spPr>
            <a:solidFill>
              <a:srgbClr val="FFF2CC"/>
            </a:solidFill>
            <a:ln cmpd="sng">
              <a:noFill/>
            </a:ln>
          </c:spPr>
          <c:dPt>
            <c:idx val="0"/>
            <c:spPr>
              <a:solidFill>
                <a:srgbClr val="FFF2CC"/>
              </a:solidFill>
              <a:ln cmpd="sng" w="9525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descentralizações'!$H$6</c:f>
              <c:numCache/>
            </c:numRef>
          </c:val>
        </c:ser>
        <c:ser>
          <c:idx val="1"/>
          <c:order val="1"/>
          <c:tx>
            <c:strRef>
              <c:f>'controle de descentralizações'!$I$5</c:f>
            </c:strRef>
          </c:tx>
          <c:spPr>
            <a:solidFill>
              <a:srgbClr val="D9EAD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descentralizações'!$I$6</c:f>
              <c:numCache/>
            </c:numRef>
          </c:val>
        </c:ser>
        <c:ser>
          <c:idx val="2"/>
          <c:order val="2"/>
          <c:tx>
            <c:strRef>
              <c:f>'controle de descentralizações'!$J$5</c:f>
            </c:strRef>
          </c:tx>
          <c:spPr>
            <a:solidFill>
              <a:srgbClr val="EA9999"/>
            </a:solidFill>
            <a:ln cmpd="sng">
              <a:noFill/>
            </a:ln>
          </c:spPr>
          <c:dPt>
            <c:idx val="0"/>
            <c:spPr>
              <a:solidFill>
                <a:srgbClr val="EA9999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'controle de descentralizações'!$J$6</c:f>
              <c:numCache/>
            </c:numRef>
          </c:val>
        </c:ser>
        <c:axId val="792659361"/>
        <c:axId val="2021336396"/>
      </c:bar3DChart>
      <c:catAx>
        <c:axId val="792659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336396"/>
      </c:catAx>
      <c:valAx>
        <c:axId val="2021336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659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9</xdr:row>
      <xdr:rowOff>9525</xdr:rowOff>
    </xdr:from>
    <xdr:ext cx="6477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2143125</xdr:colOff>
      <xdr:row>9</xdr:row>
      <xdr:rowOff>19050</xdr:rowOff>
    </xdr:from>
    <xdr:ext cx="65532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9525</xdr:colOff>
      <xdr:row>9</xdr:row>
      <xdr:rowOff>19050</xdr:rowOff>
    </xdr:from>
    <xdr:ext cx="6477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2181225</xdr:colOff>
      <xdr:row>1</xdr:row>
      <xdr:rowOff>47625</xdr:rowOff>
    </xdr:from>
    <xdr:ext cx="1057275" cy="1028700"/>
    <xdr:pic>
      <xdr:nvPicPr>
        <xdr:cNvPr id="0" name="image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1085850</xdr:colOff>
      <xdr:row>1</xdr:row>
      <xdr:rowOff>47625</xdr:rowOff>
    </xdr:from>
    <xdr:ext cx="1057275" cy="1028700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P28" displayName="Tabela1" name="Tabela1" id="1">
  <tableColumns count="16">
    <tableColumn name="ELEMENTO" id="1"/>
    <tableColumn name="PROCESSO" id="2"/>
    <tableColumn name="MODALIDADE" id="3"/>
    <tableColumn name="EMPRESA" id="4"/>
    <tableColumn name="OBJETO" id="5"/>
    <tableColumn name="CONTRATO OU ADITIVO VIGENTE" id="6"/>
    <tableColumn name="FIM DA VIGÊNCIA" id="7"/>
    <tableColumn name="FIM (DIAS)" id="8"/>
    <tableColumn name="N° SEI" id="9"/>
    <tableColumn name="OBSERVAÇÕES" id="10"/>
    <tableColumn name="VALOR TOTAL DO CONTRATO  VIGENTE" id="11"/>
    <tableColumn name="VALOR MENSAL/ ESTIMADO" id="12"/>
    <tableColumn name="VALOR EMPENHADO" id="13"/>
    <tableColumn name="ANO / Nº DO EMPENHO " id="14"/>
    <tableColumn name="SALDO DE EMPENHO" id="15"/>
    <tableColumn name="VALOR A EMPENHAR PARA CUMPRIMENTO DE CONTRATO" id="16"/>
  </tableColumns>
  <tableStyleInfo name="CONTRATOS SERVIÇOS ESSENCIA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10" width="28.5"/>
    <col customWidth="1" min="11" max="11" width="3.75"/>
  </cols>
  <sheetData>
    <row r="1" ht="1.5" customHeight="1">
      <c r="A1" s="1" t="s">
        <v>0</v>
      </c>
      <c r="K1" s="2"/>
    </row>
    <row r="2">
      <c r="A2" s="3"/>
      <c r="B2" s="4" t="s">
        <v>1</v>
      </c>
      <c r="C2" s="5"/>
      <c r="D2" s="5"/>
      <c r="E2" s="5"/>
      <c r="F2" s="5"/>
      <c r="G2" s="5"/>
      <c r="H2" s="5"/>
      <c r="I2" s="5"/>
      <c r="J2" s="6"/>
    </row>
    <row r="3" ht="72.75" customHeight="1">
      <c r="A3" s="3"/>
      <c r="B3" s="7"/>
      <c r="C3" s="8"/>
      <c r="D3" s="8"/>
      <c r="E3" s="8"/>
      <c r="F3" s="8"/>
      <c r="G3" s="8"/>
      <c r="H3" s="8"/>
      <c r="I3" s="8"/>
      <c r="J3" s="9"/>
    </row>
    <row r="4">
      <c r="A4" s="3"/>
      <c r="B4" s="10" t="s">
        <v>2</v>
      </c>
      <c r="C4" s="5"/>
      <c r="D4" s="6"/>
      <c r="E4" s="10" t="s">
        <v>3</v>
      </c>
      <c r="F4" s="5"/>
      <c r="G4" s="6"/>
      <c r="H4" s="11" t="s">
        <v>4</v>
      </c>
      <c r="I4" s="5"/>
      <c r="J4" s="6"/>
    </row>
    <row r="5">
      <c r="A5" s="3"/>
      <c r="B5" s="12" t="s">
        <v>5</v>
      </c>
      <c r="C5" s="13" t="s">
        <v>6</v>
      </c>
      <c r="D5" s="14" t="s">
        <v>7</v>
      </c>
      <c r="E5" s="15" t="s">
        <v>5</v>
      </c>
      <c r="F5" s="13" t="s">
        <v>8</v>
      </c>
      <c r="G5" s="14" t="s">
        <v>7</v>
      </c>
      <c r="H5" s="15" t="s">
        <v>5</v>
      </c>
      <c r="I5" s="13" t="s">
        <v>8</v>
      </c>
      <c r="J5" s="14" t="s">
        <v>7</v>
      </c>
    </row>
    <row r="6" ht="67.5" customHeight="1">
      <c r="A6" s="3"/>
      <c r="B6" s="16">
        <v>1.308650092E7</v>
      </c>
      <c r="C6" s="17">
        <v>6251313.0</v>
      </c>
      <c r="D6" s="18">
        <f>C6-B6</f>
        <v>-6835187.92</v>
      </c>
      <c r="E6" s="19">
        <v>1.5E7</v>
      </c>
      <c r="F6" s="17">
        <v>4376778.72</v>
      </c>
      <c r="G6" s="18">
        <f>F6-E6</f>
        <v>-10623221.28</v>
      </c>
      <c r="H6" s="19">
        <v>1.3E7</v>
      </c>
      <c r="I6" s="17">
        <v>6500000.0</v>
      </c>
      <c r="J6" s="18">
        <f>I6-H6</f>
        <v>-6500000</v>
      </c>
    </row>
    <row r="7">
      <c r="A7" s="3"/>
      <c r="B7" s="20" t="s">
        <v>9</v>
      </c>
      <c r="C7" s="21"/>
      <c r="D7" s="22"/>
      <c r="E7" s="23" t="s">
        <v>9</v>
      </c>
      <c r="F7" s="21"/>
      <c r="G7" s="22"/>
      <c r="H7" s="23" t="s">
        <v>9</v>
      </c>
      <c r="I7" s="21"/>
      <c r="J7" s="22"/>
    </row>
    <row r="8">
      <c r="A8" s="3"/>
      <c r="B8" s="24" t="s">
        <v>10</v>
      </c>
      <c r="C8" s="25"/>
      <c r="D8" s="26"/>
      <c r="E8" s="27" t="s">
        <v>11</v>
      </c>
      <c r="F8" s="25"/>
      <c r="G8" s="26"/>
      <c r="H8" s="27" t="s">
        <v>12</v>
      </c>
      <c r="I8" s="25"/>
      <c r="J8" s="26"/>
    </row>
    <row r="9" ht="67.5" customHeight="1">
      <c r="A9" s="3"/>
      <c r="B9" s="28"/>
      <c r="C9" s="29"/>
      <c r="D9" s="30"/>
      <c r="E9" s="29"/>
      <c r="F9" s="29"/>
      <c r="G9" s="30"/>
      <c r="H9" s="29"/>
      <c r="I9" s="29"/>
      <c r="J9" s="30"/>
    </row>
    <row r="10">
      <c r="A10" s="3"/>
      <c r="B10" s="31"/>
      <c r="C10" s="31"/>
      <c r="D10" s="31"/>
      <c r="E10" s="31"/>
      <c r="F10" s="31"/>
      <c r="G10" s="31"/>
      <c r="H10" s="31"/>
      <c r="I10" s="31"/>
      <c r="J10" s="32"/>
    </row>
    <row r="11">
      <c r="A11" s="3"/>
      <c r="B11" s="33"/>
      <c r="C11" s="33"/>
      <c r="D11" s="33"/>
      <c r="E11" s="33"/>
      <c r="F11" s="33"/>
      <c r="G11" s="33"/>
      <c r="H11" s="33"/>
      <c r="I11" s="33"/>
      <c r="J11" s="34"/>
    </row>
    <row r="12">
      <c r="A12" s="3"/>
      <c r="B12" s="33"/>
      <c r="C12" s="33"/>
      <c r="D12" s="33"/>
      <c r="E12" s="33"/>
      <c r="F12" s="33"/>
      <c r="G12" s="33"/>
      <c r="H12" s="33"/>
      <c r="I12" s="33"/>
      <c r="J12" s="34"/>
    </row>
    <row r="13">
      <c r="A13" s="3"/>
      <c r="B13" s="33"/>
      <c r="C13" s="33"/>
      <c r="D13" s="33"/>
      <c r="E13" s="33"/>
      <c r="F13" s="33"/>
      <c r="G13" s="33"/>
      <c r="H13" s="33"/>
      <c r="I13" s="33"/>
      <c r="J13" s="34"/>
    </row>
    <row r="14">
      <c r="A14" s="3"/>
      <c r="B14" s="33"/>
      <c r="C14" s="33"/>
      <c r="D14" s="33"/>
      <c r="E14" s="33"/>
      <c r="F14" s="33"/>
      <c r="G14" s="33"/>
      <c r="H14" s="33"/>
      <c r="I14" s="33"/>
      <c r="J14" s="34"/>
    </row>
    <row r="15">
      <c r="A15" s="3"/>
      <c r="B15" s="33"/>
      <c r="C15" s="33"/>
      <c r="D15" s="33"/>
      <c r="E15" s="33"/>
      <c r="F15" s="33"/>
      <c r="G15" s="33"/>
      <c r="H15" s="33"/>
      <c r="I15" s="33"/>
      <c r="J15" s="34"/>
    </row>
    <row r="16">
      <c r="A16" s="3"/>
      <c r="B16" s="33"/>
      <c r="C16" s="33"/>
      <c r="D16" s="33"/>
      <c r="E16" s="33"/>
      <c r="F16" s="33"/>
      <c r="G16" s="33"/>
      <c r="H16" s="33"/>
      <c r="I16" s="33"/>
      <c r="J16" s="34"/>
    </row>
    <row r="17">
      <c r="A17" s="3"/>
      <c r="B17" s="33"/>
      <c r="C17" s="33"/>
      <c r="D17" s="33"/>
      <c r="E17" s="33"/>
      <c r="F17" s="33"/>
      <c r="G17" s="33"/>
      <c r="H17" s="33"/>
      <c r="I17" s="33"/>
      <c r="J17" s="34"/>
    </row>
    <row r="18">
      <c r="A18" s="3"/>
      <c r="B18" s="33"/>
      <c r="C18" s="33"/>
      <c r="D18" s="33"/>
      <c r="E18" s="33"/>
      <c r="F18" s="33"/>
      <c r="G18" s="33"/>
      <c r="H18" s="33"/>
      <c r="I18" s="33"/>
      <c r="J18" s="34"/>
    </row>
    <row r="19">
      <c r="A19" s="3"/>
      <c r="B19" s="33"/>
      <c r="C19" s="33"/>
      <c r="D19" s="33"/>
      <c r="E19" s="33"/>
      <c r="F19" s="33"/>
      <c r="G19" s="33"/>
      <c r="H19" s="33"/>
      <c r="I19" s="33"/>
      <c r="J19" s="34"/>
    </row>
    <row r="20">
      <c r="A20" s="3"/>
      <c r="B20" s="33"/>
      <c r="C20" s="33"/>
      <c r="D20" s="33"/>
      <c r="E20" s="33"/>
      <c r="F20" s="33"/>
      <c r="G20" s="33"/>
      <c r="H20" s="33"/>
      <c r="I20" s="33"/>
      <c r="J20" s="34"/>
    </row>
    <row r="21">
      <c r="A21" s="3"/>
      <c r="B21" s="33"/>
      <c r="C21" s="33"/>
      <c r="D21" s="33"/>
      <c r="E21" s="33"/>
      <c r="F21" s="33"/>
      <c r="G21" s="33"/>
      <c r="H21" s="33"/>
      <c r="I21" s="33"/>
      <c r="J21" s="34"/>
    </row>
    <row r="22">
      <c r="A22" s="3"/>
      <c r="B22" s="33"/>
      <c r="C22" s="33"/>
      <c r="D22" s="33"/>
      <c r="E22" s="33"/>
      <c r="F22" s="33"/>
      <c r="G22" s="33"/>
      <c r="H22" s="33"/>
      <c r="I22" s="33"/>
      <c r="J22" s="34"/>
    </row>
    <row r="23">
      <c r="A23" s="3"/>
      <c r="B23" s="33"/>
      <c r="C23" s="33"/>
      <c r="D23" s="33"/>
      <c r="E23" s="33"/>
      <c r="F23" s="33"/>
      <c r="G23" s="33"/>
      <c r="H23" s="33"/>
      <c r="I23" s="33"/>
      <c r="J23" s="34"/>
    </row>
    <row r="24">
      <c r="A24" s="3"/>
      <c r="B24" s="33"/>
      <c r="C24" s="33"/>
      <c r="D24" s="33"/>
      <c r="E24" s="33"/>
      <c r="F24" s="33"/>
      <c r="G24" s="33"/>
      <c r="H24" s="33"/>
      <c r="I24" s="33"/>
      <c r="J24" s="34"/>
    </row>
    <row r="25">
      <c r="A25" s="3"/>
      <c r="B25" s="33"/>
      <c r="C25" s="33"/>
      <c r="D25" s="33"/>
      <c r="E25" s="33"/>
      <c r="F25" s="33"/>
      <c r="G25" s="33"/>
      <c r="H25" s="33"/>
      <c r="I25" s="33"/>
      <c r="J25" s="34"/>
    </row>
    <row r="26">
      <c r="A26" s="3"/>
      <c r="B26" s="33"/>
      <c r="C26" s="33"/>
      <c r="D26" s="33"/>
      <c r="E26" s="33"/>
      <c r="F26" s="33"/>
      <c r="G26" s="33"/>
      <c r="H26" s="33"/>
      <c r="I26" s="33"/>
      <c r="J26" s="34"/>
    </row>
    <row r="27">
      <c r="A27" s="3"/>
      <c r="B27" s="35"/>
      <c r="C27" s="35"/>
      <c r="D27" s="35"/>
      <c r="E27" s="35"/>
      <c r="F27" s="35"/>
      <c r="G27" s="35"/>
      <c r="H27" s="35"/>
      <c r="I27" s="35"/>
      <c r="J27" s="36"/>
    </row>
    <row r="28">
      <c r="A28" s="3"/>
      <c r="B28" s="33" t="s">
        <v>0</v>
      </c>
      <c r="J28" s="37"/>
    </row>
    <row r="29">
      <c r="A29" s="3"/>
      <c r="J29" s="37"/>
    </row>
    <row r="30">
      <c r="A30" s="3"/>
      <c r="J30" s="37"/>
    </row>
    <row r="31">
      <c r="A31" s="7"/>
      <c r="B31" s="8"/>
      <c r="C31" s="8"/>
      <c r="D31" s="8"/>
      <c r="E31" s="8"/>
      <c r="F31" s="8"/>
      <c r="G31" s="8"/>
      <c r="H31" s="8"/>
      <c r="I31" s="8"/>
      <c r="J31" s="9"/>
    </row>
  </sheetData>
  <mergeCells count="13">
    <mergeCell ref="E7:G7"/>
    <mergeCell ref="H7:J7"/>
    <mergeCell ref="B8:D9"/>
    <mergeCell ref="E8:G9"/>
    <mergeCell ref="H8:J9"/>
    <mergeCell ref="B28:J31"/>
    <mergeCell ref="A1:A31"/>
    <mergeCell ref="K1:K31"/>
    <mergeCell ref="B2:J3"/>
    <mergeCell ref="B4:D4"/>
    <mergeCell ref="E4:G4"/>
    <mergeCell ref="H4:J4"/>
    <mergeCell ref="B7:D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</row>
    <row r="5">
      <c r="A5" s="38"/>
      <c r="B5" s="38"/>
      <c r="C5" s="38"/>
      <c r="D5" s="38"/>
      <c r="E5" s="38"/>
      <c r="F5" s="38"/>
      <c r="G5" s="38"/>
      <c r="H5" s="38"/>
      <c r="I5" s="39" t="s">
        <v>13</v>
      </c>
      <c r="J5" s="40"/>
      <c r="K5" s="40"/>
      <c r="L5" s="40"/>
      <c r="M5" s="40"/>
      <c r="N5" s="40"/>
      <c r="O5" s="40"/>
      <c r="P5" s="40"/>
      <c r="Q5" s="40"/>
      <c r="R5" s="41"/>
      <c r="S5" s="38"/>
      <c r="T5" s="38"/>
      <c r="U5" s="38"/>
      <c r="V5" s="38"/>
      <c r="W5" s="38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</row>
    <row r="8">
      <c r="A8" s="42" t="s">
        <v>14</v>
      </c>
      <c r="B8" s="42" t="s">
        <v>15</v>
      </c>
      <c r="C8" s="43" t="s">
        <v>16</v>
      </c>
      <c r="D8" s="43" t="s">
        <v>17</v>
      </c>
      <c r="E8" s="43" t="s">
        <v>18</v>
      </c>
      <c r="F8" s="43" t="s">
        <v>19</v>
      </c>
      <c r="G8" s="44" t="s">
        <v>20</v>
      </c>
      <c r="H8" s="44" t="s">
        <v>21</v>
      </c>
      <c r="I8" s="45" t="s">
        <v>22</v>
      </c>
      <c r="J8" s="45" t="s">
        <v>23</v>
      </c>
      <c r="K8" s="45" t="s">
        <v>24</v>
      </c>
      <c r="L8" s="46" t="s">
        <v>25</v>
      </c>
      <c r="M8" s="46" t="s">
        <v>26</v>
      </c>
      <c r="N8" s="46" t="s">
        <v>27</v>
      </c>
      <c r="O8" s="47" t="s">
        <v>28</v>
      </c>
      <c r="P8" s="47" t="s">
        <v>29</v>
      </c>
      <c r="Q8" s="47" t="s">
        <v>30</v>
      </c>
      <c r="R8" s="48" t="s">
        <v>31</v>
      </c>
      <c r="S8" s="48" t="s">
        <v>32</v>
      </c>
      <c r="T8" s="48" t="s">
        <v>33</v>
      </c>
      <c r="U8" s="49" t="s">
        <v>34</v>
      </c>
      <c r="V8" s="50" t="s">
        <v>35</v>
      </c>
      <c r="W8" s="38"/>
    </row>
    <row r="9">
      <c r="A9" s="51">
        <v>1251.0</v>
      </c>
      <c r="B9" s="52" t="s">
        <v>36</v>
      </c>
      <c r="C9" s="53">
        <v>3.0</v>
      </c>
      <c r="D9" s="53">
        <v>0.0</v>
      </c>
      <c r="E9" s="53">
        <v>83.0</v>
      </c>
      <c r="F9" s="53">
        <v>2.0</v>
      </c>
      <c r="G9" s="54">
        <v>1501.0</v>
      </c>
      <c r="H9" s="55" t="s">
        <v>37</v>
      </c>
      <c r="I9" s="56">
        <v>0.0</v>
      </c>
      <c r="J9" s="57">
        <v>300000.0</v>
      </c>
      <c r="K9" s="57">
        <v>172440.0</v>
      </c>
      <c r="L9" s="56">
        <v>0.0</v>
      </c>
      <c r="M9" s="56">
        <v>0.0</v>
      </c>
      <c r="N9" s="56">
        <v>0.0</v>
      </c>
      <c r="O9" s="56">
        <v>0.0</v>
      </c>
      <c r="P9" s="56">
        <v>0.0</v>
      </c>
      <c r="Q9" s="56">
        <v>0.0</v>
      </c>
      <c r="R9" s="56">
        <v>0.0</v>
      </c>
      <c r="S9" s="56">
        <v>0.0</v>
      </c>
      <c r="T9" s="56">
        <v>0.0</v>
      </c>
      <c r="U9" s="58">
        <f>SUM(J9:T9)</f>
        <v>472440</v>
      </c>
      <c r="V9" s="59">
        <v>472440.0</v>
      </c>
      <c r="W9" s="38"/>
    </row>
    <row r="10">
      <c r="A10" s="60">
        <v>1251.0</v>
      </c>
      <c r="B10" s="61" t="s">
        <v>36</v>
      </c>
      <c r="C10" s="62">
        <v>3.0</v>
      </c>
      <c r="D10" s="62">
        <v>0.0</v>
      </c>
      <c r="E10" s="62">
        <v>83.0</v>
      </c>
      <c r="F10" s="62">
        <v>2.0</v>
      </c>
      <c r="G10" s="62">
        <v>3005.0</v>
      </c>
      <c r="H10" s="63" t="s">
        <v>38</v>
      </c>
      <c r="I10" s="56">
        <v>0.0</v>
      </c>
      <c r="J10" s="56">
        <v>0.0</v>
      </c>
      <c r="K10" s="56">
        <v>0.0</v>
      </c>
      <c r="L10" s="56">
        <v>0.0</v>
      </c>
      <c r="M10" s="56">
        <v>0.0</v>
      </c>
      <c r="N10" s="56">
        <v>0.0</v>
      </c>
      <c r="O10" s="56">
        <v>0.0</v>
      </c>
      <c r="P10" s="56">
        <v>0.0</v>
      </c>
      <c r="Q10" s="56">
        <v>0.0</v>
      </c>
      <c r="R10" s="56">
        <v>0.0</v>
      </c>
      <c r="S10" s="56">
        <v>0.0</v>
      </c>
      <c r="T10" s="56">
        <v>0.0</v>
      </c>
      <c r="U10" s="56">
        <f t="shared" ref="U10:U16" si="1">SUM(I10:T10)</f>
        <v>0</v>
      </c>
      <c r="V10" s="64">
        <v>3368400.0</v>
      </c>
      <c r="W10" s="38"/>
    </row>
    <row r="11">
      <c r="A11" s="60">
        <v>1251.0</v>
      </c>
      <c r="B11" s="61" t="s">
        <v>36</v>
      </c>
      <c r="C11" s="62">
        <v>3.0</v>
      </c>
      <c r="D11" s="62">
        <v>0.0</v>
      </c>
      <c r="E11" s="62">
        <v>83.0</v>
      </c>
      <c r="F11" s="62">
        <v>2.0</v>
      </c>
      <c r="G11" s="62">
        <v>3016.0</v>
      </c>
      <c r="H11" s="63" t="s">
        <v>39</v>
      </c>
      <c r="I11" s="56">
        <v>0.0</v>
      </c>
      <c r="J11" s="56">
        <v>0.0</v>
      </c>
      <c r="K11" s="56">
        <v>0.0</v>
      </c>
      <c r="L11" s="56">
        <v>0.0</v>
      </c>
      <c r="M11" s="56">
        <v>0.0</v>
      </c>
      <c r="N11" s="56">
        <v>0.0</v>
      </c>
      <c r="O11" s="56">
        <v>0.0</v>
      </c>
      <c r="P11" s="56">
        <v>0.0</v>
      </c>
      <c r="Q11" s="56">
        <v>0.0</v>
      </c>
      <c r="R11" s="56">
        <v>0.0</v>
      </c>
      <c r="S11" s="56">
        <v>0.0</v>
      </c>
      <c r="T11" s="56">
        <v>0.0</v>
      </c>
      <c r="U11" s="56">
        <f t="shared" si="1"/>
        <v>0</v>
      </c>
      <c r="V11" s="65"/>
      <c r="W11" s="38"/>
    </row>
    <row r="12">
      <c r="A12" s="60">
        <v>1251.0</v>
      </c>
      <c r="B12" s="61" t="s">
        <v>36</v>
      </c>
      <c r="C12" s="62">
        <v>3.0</v>
      </c>
      <c r="D12" s="62">
        <v>0.0</v>
      </c>
      <c r="E12" s="62">
        <v>83.0</v>
      </c>
      <c r="F12" s="62">
        <v>2.0</v>
      </c>
      <c r="G12" s="62">
        <v>3019.0</v>
      </c>
      <c r="H12" s="63" t="s">
        <v>40</v>
      </c>
      <c r="I12" s="56">
        <v>0.0</v>
      </c>
      <c r="J12" s="56">
        <v>0.0</v>
      </c>
      <c r="K12" s="56">
        <v>0.0</v>
      </c>
      <c r="L12" s="56">
        <v>0.0</v>
      </c>
      <c r="M12" s="56">
        <v>0.0</v>
      </c>
      <c r="N12" s="56">
        <v>0.0</v>
      </c>
      <c r="O12" s="56">
        <v>0.0</v>
      </c>
      <c r="P12" s="56">
        <v>0.0</v>
      </c>
      <c r="Q12" s="56">
        <v>0.0</v>
      </c>
      <c r="R12" s="56">
        <v>0.0</v>
      </c>
      <c r="S12" s="56">
        <v>0.0</v>
      </c>
      <c r="T12" s="56">
        <v>0.0</v>
      </c>
      <c r="U12" s="56">
        <f t="shared" si="1"/>
        <v>0</v>
      </c>
      <c r="V12" s="65"/>
      <c r="W12" s="38"/>
    </row>
    <row r="13">
      <c r="A13" s="60">
        <v>1251.0</v>
      </c>
      <c r="B13" s="61" t="s">
        <v>36</v>
      </c>
      <c r="C13" s="62">
        <v>3.0</v>
      </c>
      <c r="D13" s="62">
        <v>0.0</v>
      </c>
      <c r="E13" s="62">
        <v>83.0</v>
      </c>
      <c r="F13" s="62">
        <v>2.0</v>
      </c>
      <c r="G13" s="66">
        <v>3020.0</v>
      </c>
      <c r="H13" s="67" t="s">
        <v>41</v>
      </c>
      <c r="I13" s="56">
        <v>0.0</v>
      </c>
      <c r="J13" s="56">
        <v>0.0</v>
      </c>
      <c r="K13" s="56">
        <v>0.0</v>
      </c>
      <c r="L13" s="56">
        <v>0.0</v>
      </c>
      <c r="M13" s="56">
        <v>0.0</v>
      </c>
      <c r="N13" s="56">
        <v>0.0</v>
      </c>
      <c r="O13" s="56">
        <v>0.0</v>
      </c>
      <c r="P13" s="56">
        <v>0.0</v>
      </c>
      <c r="Q13" s="56">
        <v>0.0</v>
      </c>
      <c r="R13" s="56">
        <v>0.0</v>
      </c>
      <c r="S13" s="56">
        <v>0.0</v>
      </c>
      <c r="T13" s="56">
        <v>0.0</v>
      </c>
      <c r="U13" s="56">
        <f t="shared" si="1"/>
        <v>0</v>
      </c>
      <c r="V13" s="65"/>
      <c r="W13" s="38"/>
    </row>
    <row r="14">
      <c r="A14" s="60">
        <v>1251.0</v>
      </c>
      <c r="B14" s="61" t="s">
        <v>36</v>
      </c>
      <c r="C14" s="62">
        <v>3.0</v>
      </c>
      <c r="D14" s="62">
        <v>0.0</v>
      </c>
      <c r="E14" s="62">
        <v>83.0</v>
      </c>
      <c r="F14" s="62">
        <v>2.0</v>
      </c>
      <c r="G14" s="66">
        <v>3025.0</v>
      </c>
      <c r="H14" s="67" t="s">
        <v>42</v>
      </c>
      <c r="I14" s="56">
        <v>0.0</v>
      </c>
      <c r="J14" s="56">
        <v>0.0</v>
      </c>
      <c r="K14" s="56">
        <v>0.0</v>
      </c>
      <c r="L14" s="56">
        <v>0.0</v>
      </c>
      <c r="M14" s="56">
        <v>0.0</v>
      </c>
      <c r="N14" s="56">
        <v>0.0</v>
      </c>
      <c r="O14" s="56">
        <v>0.0</v>
      </c>
      <c r="P14" s="56">
        <v>0.0</v>
      </c>
      <c r="Q14" s="56">
        <v>0.0</v>
      </c>
      <c r="R14" s="56">
        <v>0.0</v>
      </c>
      <c r="S14" s="56">
        <v>0.0</v>
      </c>
      <c r="T14" s="56">
        <v>0.0</v>
      </c>
      <c r="U14" s="56">
        <f t="shared" si="1"/>
        <v>0</v>
      </c>
      <c r="V14" s="65"/>
      <c r="W14" s="38"/>
    </row>
    <row r="15">
      <c r="A15" s="60">
        <v>1251.0</v>
      </c>
      <c r="B15" s="61" t="s">
        <v>36</v>
      </c>
      <c r="C15" s="62">
        <v>3.0</v>
      </c>
      <c r="D15" s="62">
        <v>0.0</v>
      </c>
      <c r="E15" s="62">
        <v>83.0</v>
      </c>
      <c r="F15" s="62">
        <v>2.0</v>
      </c>
      <c r="G15" s="66">
        <v>3026.0</v>
      </c>
      <c r="H15" s="68" t="s">
        <v>43</v>
      </c>
      <c r="I15" s="56">
        <v>0.0</v>
      </c>
      <c r="J15" s="56">
        <v>0.0</v>
      </c>
      <c r="K15" s="56">
        <v>0.0</v>
      </c>
      <c r="L15" s="56">
        <v>0.0</v>
      </c>
      <c r="M15" s="56">
        <v>0.0</v>
      </c>
      <c r="N15" s="56">
        <v>0.0</v>
      </c>
      <c r="O15" s="56">
        <v>0.0</v>
      </c>
      <c r="P15" s="56">
        <v>0.0</v>
      </c>
      <c r="Q15" s="56">
        <v>0.0</v>
      </c>
      <c r="R15" s="56">
        <v>0.0</v>
      </c>
      <c r="S15" s="56">
        <v>0.0</v>
      </c>
      <c r="T15" s="56">
        <v>0.0</v>
      </c>
      <c r="U15" s="56">
        <f t="shared" si="1"/>
        <v>0</v>
      </c>
      <c r="V15" s="69"/>
      <c r="W15" s="38"/>
    </row>
    <row r="16">
      <c r="A16" s="60">
        <v>1251.0</v>
      </c>
      <c r="B16" s="61" t="s">
        <v>36</v>
      </c>
      <c r="C16" s="62">
        <v>3.0</v>
      </c>
      <c r="D16" s="62">
        <v>0.0</v>
      </c>
      <c r="E16" s="62">
        <v>83.0</v>
      </c>
      <c r="F16" s="62">
        <v>2.0</v>
      </c>
      <c r="G16" s="66">
        <v>3304.0</v>
      </c>
      <c r="H16" s="70"/>
      <c r="I16" s="56">
        <v>0.0</v>
      </c>
      <c r="J16" s="56">
        <v>0.0</v>
      </c>
      <c r="K16" s="56">
        <v>0.0</v>
      </c>
      <c r="L16" s="56">
        <v>0.0</v>
      </c>
      <c r="M16" s="56">
        <v>0.0</v>
      </c>
      <c r="N16" s="56">
        <v>0.0</v>
      </c>
      <c r="O16" s="56">
        <v>0.0</v>
      </c>
      <c r="P16" s="56">
        <v>0.0</v>
      </c>
      <c r="Q16" s="56">
        <v>0.0</v>
      </c>
      <c r="R16" s="56">
        <v>0.0</v>
      </c>
      <c r="S16" s="56">
        <v>0.0</v>
      </c>
      <c r="T16" s="56">
        <v>0.0</v>
      </c>
      <c r="U16" s="56">
        <f t="shared" si="1"/>
        <v>0</v>
      </c>
      <c r="V16" s="71">
        <v>16753.0</v>
      </c>
      <c r="W16" s="38"/>
    </row>
    <row r="17">
      <c r="A17" s="60">
        <v>1251.0</v>
      </c>
      <c r="B17" s="61" t="s">
        <v>36</v>
      </c>
      <c r="C17" s="62">
        <v>3.0</v>
      </c>
      <c r="D17" s="62">
        <v>0.0</v>
      </c>
      <c r="E17" s="62">
        <v>83.0</v>
      </c>
      <c r="F17" s="62">
        <v>2.0</v>
      </c>
      <c r="G17" s="66">
        <v>3701.0</v>
      </c>
      <c r="H17" s="67" t="s">
        <v>44</v>
      </c>
      <c r="I17" s="56">
        <v>0.0</v>
      </c>
      <c r="J17" s="72">
        <v>18000.0</v>
      </c>
      <c r="K17" s="72">
        <v>11000.0</v>
      </c>
      <c r="L17" s="72">
        <v>5500.0</v>
      </c>
      <c r="M17" s="72">
        <v>5500.0</v>
      </c>
      <c r="N17" s="72">
        <v>5500.0</v>
      </c>
      <c r="O17" s="72">
        <v>5500.0</v>
      </c>
      <c r="P17" s="72">
        <v>5500.0</v>
      </c>
      <c r="Q17" s="72">
        <v>5500.0</v>
      </c>
      <c r="R17" s="72">
        <v>5500.0</v>
      </c>
      <c r="S17" s="72">
        <v>5500.0</v>
      </c>
      <c r="T17" s="72">
        <v>5500.0</v>
      </c>
      <c r="U17" s="73">
        <f t="shared" ref="U17:U19" si="2">SUM(J17:T17)</f>
        <v>78500</v>
      </c>
      <c r="V17" s="71">
        <v>863808.0</v>
      </c>
      <c r="W17" s="38"/>
    </row>
    <row r="18">
      <c r="A18" s="60">
        <v>1251.0</v>
      </c>
      <c r="B18" s="61" t="s">
        <v>36</v>
      </c>
      <c r="C18" s="62">
        <v>3.0</v>
      </c>
      <c r="D18" s="62">
        <v>0.0</v>
      </c>
      <c r="E18" s="62">
        <v>83.0</v>
      </c>
      <c r="F18" s="62">
        <v>2.0</v>
      </c>
      <c r="G18" s="66">
        <v>3912.0</v>
      </c>
      <c r="H18" s="68" t="s">
        <v>45</v>
      </c>
      <c r="I18" s="56">
        <v>0.0</v>
      </c>
      <c r="J18" s="56">
        <v>0.0</v>
      </c>
      <c r="K18" s="72">
        <v>10400.0</v>
      </c>
      <c r="L18" s="72">
        <v>5200.0</v>
      </c>
      <c r="M18" s="72">
        <v>5200.0</v>
      </c>
      <c r="N18" s="72">
        <v>5200.0</v>
      </c>
      <c r="O18" s="72">
        <v>5200.0</v>
      </c>
      <c r="P18" s="72">
        <v>5200.0</v>
      </c>
      <c r="Q18" s="72">
        <v>5200.0</v>
      </c>
      <c r="R18" s="72">
        <v>5200.0</v>
      </c>
      <c r="S18" s="72">
        <v>5200.0</v>
      </c>
      <c r="T18" s="72">
        <v>5200.0</v>
      </c>
      <c r="U18" s="73">
        <f t="shared" si="2"/>
        <v>57200</v>
      </c>
      <c r="V18" s="64">
        <v>1.0271599E7</v>
      </c>
      <c r="W18" s="38"/>
    </row>
    <row r="19">
      <c r="A19" s="60">
        <v>1251.0</v>
      </c>
      <c r="B19" s="61" t="s">
        <v>36</v>
      </c>
      <c r="C19" s="62">
        <v>3.0</v>
      </c>
      <c r="D19" s="62">
        <v>0.0</v>
      </c>
      <c r="E19" s="62">
        <v>83.0</v>
      </c>
      <c r="F19" s="62">
        <v>2.0</v>
      </c>
      <c r="G19" s="66">
        <v>3913.0</v>
      </c>
      <c r="H19" s="68" t="s">
        <v>46</v>
      </c>
      <c r="I19" s="56">
        <v>0.0</v>
      </c>
      <c r="J19" s="56">
        <v>0.0</v>
      </c>
      <c r="K19" s="72">
        <v>29000.0</v>
      </c>
      <c r="L19" s="72">
        <v>20000.0</v>
      </c>
      <c r="M19" s="72">
        <v>20000.0</v>
      </c>
      <c r="N19" s="72">
        <v>20000.0</v>
      </c>
      <c r="O19" s="72">
        <v>20000.0</v>
      </c>
      <c r="P19" s="72">
        <v>20000.0</v>
      </c>
      <c r="Q19" s="72">
        <v>20000.0</v>
      </c>
      <c r="R19" s="72">
        <v>20000.0</v>
      </c>
      <c r="S19" s="72">
        <v>20000.0</v>
      </c>
      <c r="T19" s="72">
        <v>20000.0</v>
      </c>
      <c r="U19" s="73">
        <f t="shared" si="2"/>
        <v>209000</v>
      </c>
      <c r="V19" s="65"/>
      <c r="W19" s="38"/>
    </row>
    <row r="20">
      <c r="A20" s="60">
        <v>1251.0</v>
      </c>
      <c r="B20" s="61" t="s">
        <v>36</v>
      </c>
      <c r="C20" s="62">
        <v>3.0</v>
      </c>
      <c r="D20" s="62">
        <v>0.0</v>
      </c>
      <c r="E20" s="62">
        <v>83.0</v>
      </c>
      <c r="F20" s="62">
        <v>2.0</v>
      </c>
      <c r="G20" s="74">
        <v>3917.0</v>
      </c>
      <c r="H20" s="75" t="s">
        <v>47</v>
      </c>
      <c r="I20" s="56">
        <v>0.0</v>
      </c>
      <c r="J20" s="56">
        <v>0.0</v>
      </c>
      <c r="K20" s="76">
        <v>919673.76</v>
      </c>
      <c r="L20" s="76">
        <v>459836.88</v>
      </c>
      <c r="M20" s="76">
        <v>459836.88</v>
      </c>
      <c r="N20" s="76">
        <v>459836.88</v>
      </c>
      <c r="O20" s="76">
        <v>459836.88</v>
      </c>
      <c r="P20" s="76">
        <v>459836.88</v>
      </c>
      <c r="Q20" s="76">
        <v>459836.88</v>
      </c>
      <c r="R20" s="76">
        <v>459836.88</v>
      </c>
      <c r="S20" s="76">
        <v>459836.88</v>
      </c>
      <c r="T20" s="76">
        <v>459836.88</v>
      </c>
      <c r="U20" s="73">
        <f t="shared" ref="U20:U28" si="3">SUM(I20:T20)</f>
        <v>5058205.68</v>
      </c>
      <c r="V20" s="65"/>
      <c r="W20" s="38"/>
    </row>
    <row r="21">
      <c r="A21" s="60">
        <v>1251.0</v>
      </c>
      <c r="B21" s="61" t="s">
        <v>36</v>
      </c>
      <c r="C21" s="62">
        <v>3.0</v>
      </c>
      <c r="D21" s="62">
        <v>0.0</v>
      </c>
      <c r="E21" s="62">
        <v>83.0</v>
      </c>
      <c r="F21" s="62">
        <v>2.0</v>
      </c>
      <c r="G21" s="66">
        <v>3918.0</v>
      </c>
      <c r="H21" s="68" t="s">
        <v>48</v>
      </c>
      <c r="I21" s="56">
        <v>0.0</v>
      </c>
      <c r="J21" s="56">
        <v>0.0</v>
      </c>
      <c r="K21" s="56">
        <v>0.0</v>
      </c>
      <c r="L21" s="56">
        <v>0.0</v>
      </c>
      <c r="M21" s="56">
        <v>0.0</v>
      </c>
      <c r="N21" s="56">
        <v>0.0</v>
      </c>
      <c r="O21" s="56">
        <v>0.0</v>
      </c>
      <c r="P21" s="56">
        <v>0.0</v>
      </c>
      <c r="Q21" s="56">
        <v>0.0</v>
      </c>
      <c r="R21" s="56">
        <v>0.0</v>
      </c>
      <c r="S21" s="56">
        <v>0.0</v>
      </c>
      <c r="T21" s="56">
        <v>0.0</v>
      </c>
      <c r="U21" s="56">
        <f t="shared" si="3"/>
        <v>0</v>
      </c>
      <c r="V21" s="65"/>
      <c r="W21" s="38"/>
    </row>
    <row r="22">
      <c r="A22" s="60">
        <v>1251.0</v>
      </c>
      <c r="B22" s="61" t="s">
        <v>36</v>
      </c>
      <c r="C22" s="62">
        <v>3.0</v>
      </c>
      <c r="D22" s="62">
        <v>0.0</v>
      </c>
      <c r="E22" s="62">
        <v>83.0</v>
      </c>
      <c r="F22" s="62">
        <v>2.0</v>
      </c>
      <c r="G22" s="66">
        <v>3919.0</v>
      </c>
      <c r="H22" s="67" t="s">
        <v>49</v>
      </c>
      <c r="I22" s="56">
        <v>0.0</v>
      </c>
      <c r="J22" s="56">
        <v>0.0</v>
      </c>
      <c r="K22" s="56">
        <v>0.0</v>
      </c>
      <c r="L22" s="56">
        <v>0.0</v>
      </c>
      <c r="M22" s="56">
        <v>0.0</v>
      </c>
      <c r="N22" s="56">
        <v>0.0</v>
      </c>
      <c r="O22" s="56">
        <v>0.0</v>
      </c>
      <c r="P22" s="56">
        <v>0.0</v>
      </c>
      <c r="Q22" s="56">
        <v>0.0</v>
      </c>
      <c r="R22" s="56">
        <v>0.0</v>
      </c>
      <c r="S22" s="56">
        <v>0.0</v>
      </c>
      <c r="T22" s="56">
        <v>0.0</v>
      </c>
      <c r="U22" s="56">
        <f t="shared" si="3"/>
        <v>0</v>
      </c>
      <c r="V22" s="65"/>
      <c r="W22" s="38"/>
    </row>
    <row r="23">
      <c r="A23" s="60">
        <v>1251.0</v>
      </c>
      <c r="B23" s="61" t="s">
        <v>36</v>
      </c>
      <c r="C23" s="62">
        <v>3.0</v>
      </c>
      <c r="D23" s="62">
        <v>0.0</v>
      </c>
      <c r="E23" s="62">
        <v>83.0</v>
      </c>
      <c r="F23" s="62">
        <v>2.0</v>
      </c>
      <c r="G23" s="66">
        <v>3921.0</v>
      </c>
      <c r="H23" s="67" t="s">
        <v>50</v>
      </c>
      <c r="I23" s="56">
        <v>0.0</v>
      </c>
      <c r="J23" s="76">
        <v>82000.0</v>
      </c>
      <c r="K23" s="56">
        <v>0.0</v>
      </c>
      <c r="L23" s="56">
        <v>0.0</v>
      </c>
      <c r="M23" s="56">
        <v>0.0</v>
      </c>
      <c r="N23" s="56">
        <v>0.0</v>
      </c>
      <c r="O23" s="56">
        <v>0.0</v>
      </c>
      <c r="P23" s="56">
        <v>0.0</v>
      </c>
      <c r="Q23" s="56">
        <v>0.0</v>
      </c>
      <c r="R23" s="56">
        <v>0.0</v>
      </c>
      <c r="S23" s="56">
        <v>0.0</v>
      </c>
      <c r="T23" s="56">
        <v>0.0</v>
      </c>
      <c r="U23" s="73">
        <f t="shared" si="3"/>
        <v>82000</v>
      </c>
      <c r="V23" s="65"/>
      <c r="W23" s="38"/>
    </row>
    <row r="24">
      <c r="A24" s="60">
        <v>1251.0</v>
      </c>
      <c r="B24" s="61" t="s">
        <v>36</v>
      </c>
      <c r="C24" s="62">
        <v>3.0</v>
      </c>
      <c r="D24" s="62">
        <v>0.0</v>
      </c>
      <c r="E24" s="62">
        <v>83.0</v>
      </c>
      <c r="F24" s="62">
        <v>2.0</v>
      </c>
      <c r="G24" s="66">
        <v>3924.0</v>
      </c>
      <c r="H24" s="67" t="s">
        <v>51</v>
      </c>
      <c r="I24" s="56">
        <v>0.0</v>
      </c>
      <c r="J24" s="56">
        <v>0.0</v>
      </c>
      <c r="K24" s="56">
        <v>0.0</v>
      </c>
      <c r="L24" s="56">
        <v>0.0</v>
      </c>
      <c r="M24" s="56">
        <v>0.0</v>
      </c>
      <c r="N24" s="56">
        <v>0.0</v>
      </c>
      <c r="O24" s="56">
        <v>0.0</v>
      </c>
      <c r="P24" s="56">
        <v>0.0</v>
      </c>
      <c r="Q24" s="56">
        <v>0.0</v>
      </c>
      <c r="R24" s="56">
        <v>0.0</v>
      </c>
      <c r="S24" s="56">
        <v>0.0</v>
      </c>
      <c r="T24" s="56">
        <v>0.0</v>
      </c>
      <c r="U24" s="56">
        <f t="shared" si="3"/>
        <v>0</v>
      </c>
      <c r="V24" s="65"/>
      <c r="W24" s="38"/>
    </row>
    <row r="25">
      <c r="A25" s="60">
        <v>1251.0</v>
      </c>
      <c r="B25" s="61" t="s">
        <v>36</v>
      </c>
      <c r="C25" s="62">
        <v>3.0</v>
      </c>
      <c r="D25" s="62">
        <v>0.0</v>
      </c>
      <c r="E25" s="62">
        <v>83.0</v>
      </c>
      <c r="F25" s="62">
        <v>2.0</v>
      </c>
      <c r="G25" s="66">
        <v>3943.0</v>
      </c>
      <c r="H25" s="68" t="s">
        <v>52</v>
      </c>
      <c r="I25" s="56">
        <v>0.0</v>
      </c>
      <c r="J25" s="76">
        <v>200000.0</v>
      </c>
      <c r="K25" s="76">
        <v>100000.0</v>
      </c>
      <c r="L25" s="76">
        <v>30000.0</v>
      </c>
      <c r="M25" s="76">
        <v>30000.0</v>
      </c>
      <c r="N25" s="76">
        <v>30000.0</v>
      </c>
      <c r="O25" s="76">
        <v>30000.0</v>
      </c>
      <c r="P25" s="76">
        <v>30000.0</v>
      </c>
      <c r="Q25" s="76">
        <v>30000.0</v>
      </c>
      <c r="R25" s="76">
        <v>30000.0</v>
      </c>
      <c r="S25" s="76">
        <v>30000.0</v>
      </c>
      <c r="T25" s="76">
        <v>30000.0</v>
      </c>
      <c r="U25" s="72">
        <f t="shared" si="3"/>
        <v>570000</v>
      </c>
      <c r="V25" s="65"/>
      <c r="W25" s="38"/>
    </row>
    <row r="26">
      <c r="A26" s="60">
        <v>1251.0</v>
      </c>
      <c r="B26" s="61" t="s">
        <v>36</v>
      </c>
      <c r="C26" s="62">
        <v>3.0</v>
      </c>
      <c r="D26" s="62">
        <v>0.0</v>
      </c>
      <c r="E26" s="62">
        <v>83.0</v>
      </c>
      <c r="F26" s="62">
        <v>2.0</v>
      </c>
      <c r="G26" s="66">
        <v>3952.0</v>
      </c>
      <c r="H26" s="67" t="s">
        <v>53</v>
      </c>
      <c r="I26" s="56">
        <v>0.0</v>
      </c>
      <c r="J26" s="56">
        <v>0.0</v>
      </c>
      <c r="K26" s="56">
        <v>0.0</v>
      </c>
      <c r="L26" s="56">
        <v>0.0</v>
      </c>
      <c r="M26" s="56">
        <v>0.0</v>
      </c>
      <c r="N26" s="56">
        <v>0.0</v>
      </c>
      <c r="O26" s="56">
        <v>0.0</v>
      </c>
      <c r="P26" s="56">
        <v>0.0</v>
      </c>
      <c r="Q26" s="56">
        <v>0.0</v>
      </c>
      <c r="R26" s="56">
        <v>0.0</v>
      </c>
      <c r="S26" s="56">
        <v>0.0</v>
      </c>
      <c r="T26" s="56">
        <v>0.0</v>
      </c>
      <c r="U26" s="56">
        <f t="shared" si="3"/>
        <v>0</v>
      </c>
      <c r="V26" s="65"/>
      <c r="W26" s="38"/>
    </row>
    <row r="27">
      <c r="A27" s="60">
        <v>1251.0</v>
      </c>
      <c r="B27" s="61" t="s">
        <v>36</v>
      </c>
      <c r="C27" s="62">
        <v>3.0</v>
      </c>
      <c r="D27" s="62">
        <v>0.0</v>
      </c>
      <c r="E27" s="62">
        <v>83.0</v>
      </c>
      <c r="F27" s="62">
        <v>2.0</v>
      </c>
      <c r="G27" s="77">
        <v>3987.0</v>
      </c>
      <c r="H27" s="78" t="s">
        <v>54</v>
      </c>
      <c r="I27" s="56">
        <v>0.0</v>
      </c>
      <c r="J27" s="79"/>
      <c r="K27" s="72">
        <v>215654.32</v>
      </c>
      <c r="L27" s="72">
        <v>250000.0</v>
      </c>
      <c r="M27" s="72">
        <v>250000.0</v>
      </c>
      <c r="N27" s="72">
        <v>250000.0</v>
      </c>
      <c r="O27" s="72">
        <v>250000.0</v>
      </c>
      <c r="P27" s="72">
        <v>250000.0</v>
      </c>
      <c r="Q27" s="72">
        <v>250000.0</v>
      </c>
      <c r="R27" s="72">
        <v>250000.0</v>
      </c>
      <c r="S27" s="72">
        <v>250000.0</v>
      </c>
      <c r="T27" s="72">
        <v>250000.0</v>
      </c>
      <c r="U27" s="72">
        <f t="shared" si="3"/>
        <v>2465654.32</v>
      </c>
      <c r="V27" s="65"/>
      <c r="W27" s="38"/>
    </row>
    <row r="28">
      <c r="A28" s="60">
        <v>1251.0</v>
      </c>
      <c r="B28" s="61" t="s">
        <v>36</v>
      </c>
      <c r="C28" s="62">
        <v>3.0</v>
      </c>
      <c r="D28" s="62">
        <v>0.0</v>
      </c>
      <c r="E28" s="62">
        <v>83.0</v>
      </c>
      <c r="F28" s="62">
        <v>2.0</v>
      </c>
      <c r="G28" s="77">
        <v>4002.0</v>
      </c>
      <c r="H28" s="80" t="s">
        <v>55</v>
      </c>
      <c r="I28" s="56">
        <v>0.0</v>
      </c>
      <c r="J28" s="56">
        <v>0.0</v>
      </c>
      <c r="K28" s="56">
        <v>0.0</v>
      </c>
      <c r="L28" s="56">
        <v>0.0</v>
      </c>
      <c r="M28" s="56">
        <v>0.0</v>
      </c>
      <c r="N28" s="56">
        <v>0.0</v>
      </c>
      <c r="O28" s="56">
        <v>0.0</v>
      </c>
      <c r="P28" s="56">
        <v>0.0</v>
      </c>
      <c r="Q28" s="56">
        <v>0.0</v>
      </c>
      <c r="R28" s="56">
        <v>0.0</v>
      </c>
      <c r="S28" s="56">
        <v>0.0</v>
      </c>
      <c r="T28" s="56">
        <v>0.0</v>
      </c>
      <c r="U28" s="56">
        <f t="shared" si="3"/>
        <v>0</v>
      </c>
      <c r="V28" s="69"/>
      <c r="W28" s="38"/>
    </row>
    <row r="29">
      <c r="A29" s="81">
        <v>1251.0</v>
      </c>
      <c r="B29" s="82" t="s">
        <v>36</v>
      </c>
      <c r="C29" s="83">
        <v>3.0</v>
      </c>
      <c r="D29" s="83">
        <v>0.0</v>
      </c>
      <c r="E29" s="83">
        <v>83.0</v>
      </c>
      <c r="F29" s="83">
        <v>2.0</v>
      </c>
      <c r="G29" s="84">
        <v>4707.0</v>
      </c>
      <c r="H29" s="85" t="s">
        <v>56</v>
      </c>
      <c r="I29" s="56">
        <v>0.0</v>
      </c>
      <c r="J29" s="56">
        <v>0.0</v>
      </c>
      <c r="K29" s="86">
        <v>7000.0</v>
      </c>
      <c r="L29" s="56">
        <v>0.0</v>
      </c>
      <c r="M29" s="56">
        <v>0.0</v>
      </c>
      <c r="N29" s="56">
        <v>0.0</v>
      </c>
      <c r="O29" s="56">
        <v>0.0</v>
      </c>
      <c r="P29" s="56">
        <v>0.0</v>
      </c>
      <c r="Q29" s="56">
        <v>0.0</v>
      </c>
      <c r="R29" s="56">
        <v>0.0</v>
      </c>
      <c r="S29" s="56">
        <v>0.0</v>
      </c>
      <c r="T29" s="56">
        <v>0.0</v>
      </c>
      <c r="U29" s="87">
        <f>SUM(J29:T29)</f>
        <v>7000</v>
      </c>
      <c r="V29" s="64">
        <v>7000.0</v>
      </c>
      <c r="W29" s="38"/>
    </row>
    <row r="30">
      <c r="A30" s="88"/>
      <c r="B30" s="40"/>
      <c r="C30" s="40"/>
      <c r="D30" s="40"/>
      <c r="E30" s="40"/>
      <c r="F30" s="40"/>
      <c r="G30" s="40"/>
      <c r="H30" s="40"/>
      <c r="I30" s="41"/>
      <c r="J30" s="89">
        <f t="shared" ref="J30:V30" si="4">SUM(J9:J29)</f>
        <v>600000</v>
      </c>
      <c r="K30" s="89">
        <f t="shared" si="4"/>
        <v>1465168.08</v>
      </c>
      <c r="L30" s="90">
        <f t="shared" si="4"/>
        <v>770536.88</v>
      </c>
      <c r="M30" s="90">
        <f t="shared" si="4"/>
        <v>770536.88</v>
      </c>
      <c r="N30" s="91">
        <f t="shared" si="4"/>
        <v>770536.88</v>
      </c>
      <c r="O30" s="90">
        <f t="shared" si="4"/>
        <v>770536.88</v>
      </c>
      <c r="P30" s="90">
        <f t="shared" si="4"/>
        <v>770536.88</v>
      </c>
      <c r="Q30" s="90">
        <f t="shared" si="4"/>
        <v>770536.88</v>
      </c>
      <c r="R30" s="91">
        <f t="shared" si="4"/>
        <v>770536.88</v>
      </c>
      <c r="S30" s="90">
        <f t="shared" si="4"/>
        <v>770536.88</v>
      </c>
      <c r="T30" s="90">
        <f t="shared" si="4"/>
        <v>770536.88</v>
      </c>
      <c r="U30" s="92">
        <f t="shared" si="4"/>
        <v>9000000</v>
      </c>
      <c r="V30" s="93">
        <f t="shared" si="4"/>
        <v>15000000</v>
      </c>
      <c r="W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94"/>
      <c r="T34" s="38"/>
      <c r="U34" s="38"/>
      <c r="V34" s="38"/>
      <c r="W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95" t="s">
        <v>57</v>
      </c>
      <c r="M35" s="96">
        <v>0.6</v>
      </c>
      <c r="N35" s="97">
        <v>9000000.0</v>
      </c>
      <c r="O35" s="98"/>
      <c r="P35" s="38"/>
      <c r="Q35" s="38"/>
      <c r="R35" s="38"/>
      <c r="S35" s="94"/>
      <c r="T35" s="38"/>
      <c r="U35" s="38"/>
      <c r="V35" s="38"/>
      <c r="W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95" t="s">
        <v>58</v>
      </c>
      <c r="M36" s="96">
        <v>0.4</v>
      </c>
      <c r="N36" s="97">
        <v>6000000.0</v>
      </c>
      <c r="O36" s="98"/>
      <c r="P36" s="38"/>
      <c r="Q36" s="38"/>
      <c r="R36" s="38"/>
      <c r="S36" s="94"/>
      <c r="T36" s="38"/>
      <c r="U36" s="38"/>
      <c r="V36" s="38"/>
      <c r="W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95" t="s">
        <v>59</v>
      </c>
      <c r="M37" s="96">
        <v>1.0</v>
      </c>
      <c r="N37" s="97">
        <v>1.5E7</v>
      </c>
      <c r="O37" s="98"/>
      <c r="P37" s="38"/>
      <c r="Q37" s="38"/>
      <c r="R37" s="38"/>
      <c r="S37" s="94"/>
      <c r="T37" s="38"/>
      <c r="U37" s="38"/>
      <c r="V37" s="38"/>
      <c r="W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94"/>
      <c r="T38" s="38"/>
      <c r="U38" s="38"/>
      <c r="V38" s="38"/>
      <c r="W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</row>
  </sheetData>
  <mergeCells count="7">
    <mergeCell ref="I5:R5"/>
    <mergeCell ref="V10:V15"/>
    <mergeCell ref="V18:V28"/>
    <mergeCell ref="A30:I30"/>
    <mergeCell ref="N35:O35"/>
    <mergeCell ref="N36:O36"/>
    <mergeCell ref="N37:O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/>
      <c r="B1" s="9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99"/>
    </row>
    <row r="2">
      <c r="A2" s="38"/>
      <c r="B2" s="38"/>
      <c r="C2" s="38"/>
      <c r="D2" s="38"/>
      <c r="E2" s="38"/>
      <c r="F2" s="38"/>
      <c r="G2" s="38"/>
      <c r="H2" s="38"/>
      <c r="I2" s="38"/>
      <c r="J2" s="100" t="s">
        <v>60</v>
      </c>
      <c r="K2" s="40"/>
      <c r="L2" s="40"/>
      <c r="M2" s="40"/>
      <c r="N2" s="40"/>
      <c r="O2" s="40"/>
      <c r="P2" s="40"/>
      <c r="Q2" s="40"/>
      <c r="R2" s="41"/>
      <c r="S2" s="38"/>
      <c r="T2" s="38"/>
      <c r="U2" s="38"/>
      <c r="V2" s="38"/>
      <c r="W2" s="38"/>
    </row>
    <row r="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</row>
    <row r="4">
      <c r="A4" s="42" t="s">
        <v>14</v>
      </c>
      <c r="B4" s="42" t="s">
        <v>15</v>
      </c>
      <c r="C4" s="43" t="s">
        <v>16</v>
      </c>
      <c r="D4" s="43" t="s">
        <v>17</v>
      </c>
      <c r="E4" s="43" t="s">
        <v>18</v>
      </c>
      <c r="F4" s="43" t="s">
        <v>19</v>
      </c>
      <c r="G4" s="44" t="s">
        <v>20</v>
      </c>
      <c r="H4" s="44" t="s">
        <v>61</v>
      </c>
      <c r="I4" s="45" t="s">
        <v>22</v>
      </c>
      <c r="J4" s="45" t="s">
        <v>23</v>
      </c>
      <c r="K4" s="45" t="s">
        <v>24</v>
      </c>
      <c r="L4" s="46" t="s">
        <v>25</v>
      </c>
      <c r="M4" s="46" t="s">
        <v>26</v>
      </c>
      <c r="N4" s="46" t="s">
        <v>27</v>
      </c>
      <c r="O4" s="47" t="s">
        <v>28</v>
      </c>
      <c r="P4" s="47" t="s">
        <v>29</v>
      </c>
      <c r="Q4" s="47" t="s">
        <v>30</v>
      </c>
      <c r="R4" s="48" t="s">
        <v>31</v>
      </c>
      <c r="S4" s="48" t="s">
        <v>32</v>
      </c>
      <c r="T4" s="48" t="s">
        <v>33</v>
      </c>
      <c r="U4" s="49" t="s">
        <v>34</v>
      </c>
      <c r="V4" s="101" t="s">
        <v>35</v>
      </c>
      <c r="W4" s="38"/>
    </row>
    <row r="5">
      <c r="A5" s="54">
        <v>1251.0</v>
      </c>
      <c r="B5" s="102" t="s">
        <v>36</v>
      </c>
      <c r="C5" s="53">
        <v>3.0</v>
      </c>
      <c r="D5" s="53">
        <v>0.0</v>
      </c>
      <c r="E5" s="53">
        <v>52.0</v>
      </c>
      <c r="F5" s="53">
        <v>2.0</v>
      </c>
      <c r="G5" s="54">
        <v>1501.0</v>
      </c>
      <c r="H5" s="103" t="s">
        <v>62</v>
      </c>
      <c r="I5" s="104" t="s">
        <v>63</v>
      </c>
      <c r="J5" s="105">
        <v>250000.0</v>
      </c>
      <c r="K5" s="106">
        <v>400000.0</v>
      </c>
      <c r="L5" s="107">
        <v>100000.0</v>
      </c>
      <c r="M5" s="107">
        <v>100000.0</v>
      </c>
      <c r="N5" s="107">
        <v>100000.0</v>
      </c>
      <c r="O5" s="107">
        <v>100000.0</v>
      </c>
      <c r="P5" s="107">
        <v>230000.0</v>
      </c>
      <c r="Q5" s="107">
        <v>110000.0</v>
      </c>
      <c r="R5" s="107">
        <v>150000.0</v>
      </c>
      <c r="S5" s="107">
        <v>150000.0</v>
      </c>
      <c r="T5" s="107">
        <v>110000.0</v>
      </c>
      <c r="U5" s="108">
        <f t="shared" ref="U5:U15" si="1">SUM(J5:T5)</f>
        <v>1800000</v>
      </c>
      <c r="V5" s="109">
        <v>1800000.0</v>
      </c>
      <c r="W5" s="38"/>
    </row>
    <row r="6">
      <c r="A6" s="110">
        <v>1251.0</v>
      </c>
      <c r="B6" s="111" t="s">
        <v>36</v>
      </c>
      <c r="C6" s="110">
        <v>3.0</v>
      </c>
      <c r="D6" s="110">
        <v>0.0</v>
      </c>
      <c r="E6" s="110">
        <v>52.0</v>
      </c>
      <c r="F6" s="110">
        <v>2.0</v>
      </c>
      <c r="G6" s="110">
        <v>3005.0</v>
      </c>
      <c r="H6" s="112" t="s">
        <v>64</v>
      </c>
      <c r="I6" s="113" t="s">
        <v>63</v>
      </c>
      <c r="J6" s="114" t="s">
        <v>63</v>
      </c>
      <c r="K6" s="115">
        <v>30000.0</v>
      </c>
      <c r="L6" s="114" t="s">
        <v>63</v>
      </c>
      <c r="M6" s="115" t="s">
        <v>63</v>
      </c>
      <c r="N6" s="114" t="s">
        <v>63</v>
      </c>
      <c r="O6" s="115" t="s">
        <v>63</v>
      </c>
      <c r="P6" s="115" t="s">
        <v>63</v>
      </c>
      <c r="Q6" s="115" t="s">
        <v>63</v>
      </c>
      <c r="R6" s="115" t="s">
        <v>63</v>
      </c>
      <c r="S6" s="115" t="s">
        <v>63</v>
      </c>
      <c r="T6" s="115" t="s">
        <v>63</v>
      </c>
      <c r="U6" s="116">
        <f t="shared" si="1"/>
        <v>30000</v>
      </c>
      <c r="V6" s="117">
        <v>3528339.0</v>
      </c>
      <c r="W6" s="118"/>
    </row>
    <row r="7">
      <c r="A7" s="110">
        <v>1251.0</v>
      </c>
      <c r="B7" s="111" t="s">
        <v>36</v>
      </c>
      <c r="C7" s="110">
        <v>3.0</v>
      </c>
      <c r="D7" s="110">
        <v>0.0</v>
      </c>
      <c r="E7" s="110">
        <v>52.0</v>
      </c>
      <c r="F7" s="110">
        <v>2.0</v>
      </c>
      <c r="G7" s="110">
        <v>3016.0</v>
      </c>
      <c r="H7" s="112" t="s">
        <v>65</v>
      </c>
      <c r="I7" s="113" t="s">
        <v>63</v>
      </c>
      <c r="J7" s="114" t="s">
        <v>63</v>
      </c>
      <c r="K7" s="115">
        <v>36000.0</v>
      </c>
      <c r="L7" s="114" t="s">
        <v>63</v>
      </c>
      <c r="M7" s="115" t="s">
        <v>63</v>
      </c>
      <c r="N7" s="114" t="s">
        <v>63</v>
      </c>
      <c r="O7" s="115" t="s">
        <v>63</v>
      </c>
      <c r="P7" s="115">
        <v>40000.0</v>
      </c>
      <c r="Q7" s="115" t="s">
        <v>63</v>
      </c>
      <c r="R7" s="115" t="s">
        <v>63</v>
      </c>
      <c r="S7" s="115" t="s">
        <v>63</v>
      </c>
      <c r="T7" s="115" t="s">
        <v>63</v>
      </c>
      <c r="U7" s="116">
        <f t="shared" si="1"/>
        <v>76000</v>
      </c>
      <c r="V7" s="119"/>
      <c r="W7" s="118"/>
    </row>
    <row r="8">
      <c r="A8" s="110">
        <v>1251.0</v>
      </c>
      <c r="B8" s="111" t="s">
        <v>36</v>
      </c>
      <c r="C8" s="110">
        <v>3.0</v>
      </c>
      <c r="D8" s="110">
        <v>0.0</v>
      </c>
      <c r="E8" s="110">
        <v>52.0</v>
      </c>
      <c r="F8" s="110">
        <v>2.0</v>
      </c>
      <c r="G8" s="110">
        <v>3017.0</v>
      </c>
      <c r="H8" s="112" t="s">
        <v>66</v>
      </c>
      <c r="I8" s="113" t="s">
        <v>63</v>
      </c>
      <c r="J8" s="114" t="s">
        <v>63</v>
      </c>
      <c r="K8" s="115" t="s">
        <v>63</v>
      </c>
      <c r="L8" s="114" t="s">
        <v>63</v>
      </c>
      <c r="M8" s="115">
        <v>130000.0</v>
      </c>
      <c r="N8" s="114" t="s">
        <v>63</v>
      </c>
      <c r="O8" s="115" t="s">
        <v>63</v>
      </c>
      <c r="P8" s="115">
        <v>130000.0</v>
      </c>
      <c r="Q8" s="115" t="s">
        <v>63</v>
      </c>
      <c r="R8" s="115" t="s">
        <v>63</v>
      </c>
      <c r="S8" s="115" t="s">
        <v>63</v>
      </c>
      <c r="T8" s="115" t="s">
        <v>63</v>
      </c>
      <c r="U8" s="116">
        <f t="shared" si="1"/>
        <v>260000</v>
      </c>
      <c r="V8" s="119"/>
      <c r="W8" s="118"/>
    </row>
    <row r="9">
      <c r="A9" s="110">
        <v>1251.0</v>
      </c>
      <c r="B9" s="111" t="s">
        <v>36</v>
      </c>
      <c r="C9" s="110">
        <v>3.0</v>
      </c>
      <c r="D9" s="110">
        <v>0.0</v>
      </c>
      <c r="E9" s="110">
        <v>52.0</v>
      </c>
      <c r="F9" s="110">
        <v>2.0</v>
      </c>
      <c r="G9" s="110">
        <v>3019.0</v>
      </c>
      <c r="H9" s="112" t="s">
        <v>67</v>
      </c>
      <c r="I9" s="113" t="s">
        <v>63</v>
      </c>
      <c r="J9" s="114" t="s">
        <v>63</v>
      </c>
      <c r="K9" s="115">
        <v>80000.0</v>
      </c>
      <c r="L9" s="114" t="s">
        <v>63</v>
      </c>
      <c r="M9" s="115" t="s">
        <v>63</v>
      </c>
      <c r="N9" s="114" t="s">
        <v>63</v>
      </c>
      <c r="O9" s="115" t="s">
        <v>63</v>
      </c>
      <c r="P9" s="115" t="s">
        <v>63</v>
      </c>
      <c r="Q9" s="115" t="s">
        <v>63</v>
      </c>
      <c r="R9" s="115" t="s">
        <v>63</v>
      </c>
      <c r="S9" s="115" t="s">
        <v>63</v>
      </c>
      <c r="T9" s="115" t="s">
        <v>63</v>
      </c>
      <c r="U9" s="116">
        <f t="shared" si="1"/>
        <v>80000</v>
      </c>
      <c r="V9" s="119"/>
      <c r="W9" s="118"/>
    </row>
    <row r="10">
      <c r="A10" s="110">
        <v>1251.0</v>
      </c>
      <c r="B10" s="111" t="s">
        <v>36</v>
      </c>
      <c r="C10" s="110">
        <v>3.0</v>
      </c>
      <c r="D10" s="110">
        <v>0.0</v>
      </c>
      <c r="E10" s="110">
        <v>52.0</v>
      </c>
      <c r="F10" s="110">
        <v>2.0</v>
      </c>
      <c r="G10" s="110">
        <v>3023.0</v>
      </c>
      <c r="H10" s="112" t="s">
        <v>68</v>
      </c>
      <c r="I10" s="113" t="s">
        <v>63</v>
      </c>
      <c r="J10" s="114" t="s">
        <v>63</v>
      </c>
      <c r="K10" s="115" t="s">
        <v>63</v>
      </c>
      <c r="L10" s="114" t="s">
        <v>63</v>
      </c>
      <c r="M10" s="115">
        <v>371524.45</v>
      </c>
      <c r="N10" s="114" t="s">
        <v>63</v>
      </c>
      <c r="O10" s="115" t="s">
        <v>63</v>
      </c>
      <c r="P10" s="115" t="s">
        <v>63</v>
      </c>
      <c r="Q10" s="115" t="s">
        <v>63</v>
      </c>
      <c r="R10" s="115" t="s">
        <v>63</v>
      </c>
      <c r="S10" s="115" t="s">
        <v>63</v>
      </c>
      <c r="T10" s="115" t="s">
        <v>63</v>
      </c>
      <c r="U10" s="116">
        <f t="shared" si="1"/>
        <v>371524.45</v>
      </c>
      <c r="V10" s="119"/>
      <c r="W10" s="118"/>
    </row>
    <row r="11">
      <c r="A11" s="110">
        <v>1251.0</v>
      </c>
      <c r="B11" s="111" t="s">
        <v>36</v>
      </c>
      <c r="C11" s="110">
        <v>3.0</v>
      </c>
      <c r="D11" s="110">
        <v>0.0</v>
      </c>
      <c r="E11" s="110">
        <v>52.0</v>
      </c>
      <c r="F11" s="110">
        <v>2.0</v>
      </c>
      <c r="G11" s="110">
        <v>3025.0</v>
      </c>
      <c r="H11" s="112" t="s">
        <v>69</v>
      </c>
      <c r="I11" s="113" t="s">
        <v>63</v>
      </c>
      <c r="J11" s="114" t="s">
        <v>63</v>
      </c>
      <c r="K11" s="115">
        <v>288555.0</v>
      </c>
      <c r="L11" s="115">
        <v>378334.8</v>
      </c>
      <c r="M11" s="114" t="s">
        <v>63</v>
      </c>
      <c r="N11" s="114" t="s">
        <v>63</v>
      </c>
      <c r="O11" s="115" t="s">
        <v>63</v>
      </c>
      <c r="P11" s="115" t="s">
        <v>63</v>
      </c>
      <c r="Q11" s="115" t="s">
        <v>63</v>
      </c>
      <c r="R11" s="115">
        <v>243924.75</v>
      </c>
      <c r="S11" s="115" t="s">
        <v>63</v>
      </c>
      <c r="T11" s="115" t="s">
        <v>63</v>
      </c>
      <c r="U11" s="116">
        <f t="shared" si="1"/>
        <v>910814.55</v>
      </c>
      <c r="V11" s="119"/>
      <c r="W11" s="118"/>
    </row>
    <row r="12">
      <c r="A12" s="110">
        <v>1251.0</v>
      </c>
      <c r="B12" s="111" t="s">
        <v>36</v>
      </c>
      <c r="C12" s="110">
        <v>3.0</v>
      </c>
      <c r="D12" s="110">
        <v>0.0</v>
      </c>
      <c r="E12" s="110">
        <v>52.0</v>
      </c>
      <c r="F12" s="110">
        <v>2.0</v>
      </c>
      <c r="G12" s="110">
        <v>3026.0</v>
      </c>
      <c r="H12" s="112" t="s">
        <v>70</v>
      </c>
      <c r="I12" s="113" t="s">
        <v>63</v>
      </c>
      <c r="J12" s="114" t="s">
        <v>63</v>
      </c>
      <c r="K12" s="115">
        <v>300000.0</v>
      </c>
      <c r="L12" s="120">
        <v>150000.0</v>
      </c>
      <c r="M12" s="115">
        <v>150000.0</v>
      </c>
      <c r="N12" s="115">
        <v>150000.0</v>
      </c>
      <c r="O12" s="120">
        <v>150000.0</v>
      </c>
      <c r="P12" s="115">
        <v>150000.0</v>
      </c>
      <c r="Q12" s="120">
        <v>150000.0</v>
      </c>
      <c r="R12" s="115">
        <v>150000.0</v>
      </c>
      <c r="S12" s="115">
        <v>150000.0</v>
      </c>
      <c r="T12" s="115">
        <v>300000.0</v>
      </c>
      <c r="U12" s="116">
        <f t="shared" si="1"/>
        <v>1800000</v>
      </c>
      <c r="V12" s="121"/>
      <c r="W12" s="118"/>
    </row>
    <row r="13">
      <c r="A13" s="66">
        <v>1251.0</v>
      </c>
      <c r="B13" s="122" t="s">
        <v>36</v>
      </c>
      <c r="C13" s="62">
        <v>3.0</v>
      </c>
      <c r="D13" s="62">
        <v>0.0</v>
      </c>
      <c r="E13" s="62">
        <v>52.0</v>
      </c>
      <c r="F13" s="62">
        <v>2.0</v>
      </c>
      <c r="G13" s="66">
        <v>3701.0</v>
      </c>
      <c r="H13" s="103" t="s">
        <v>71</v>
      </c>
      <c r="I13" s="104" t="s">
        <v>63</v>
      </c>
      <c r="J13" s="56" t="s">
        <v>63</v>
      </c>
      <c r="K13" s="115">
        <v>10000.0</v>
      </c>
      <c r="L13" s="123">
        <v>5000.0</v>
      </c>
      <c r="M13" s="123">
        <v>5000.0</v>
      </c>
      <c r="N13" s="123">
        <v>5000.0</v>
      </c>
      <c r="O13" s="123">
        <v>5000.0</v>
      </c>
      <c r="P13" s="123">
        <v>5000.0</v>
      </c>
      <c r="Q13" s="123">
        <v>5000.0</v>
      </c>
      <c r="R13" s="123">
        <v>5000.0</v>
      </c>
      <c r="S13" s="123">
        <v>5000.0</v>
      </c>
      <c r="T13" s="123">
        <v>10000.0</v>
      </c>
      <c r="U13" s="124">
        <f t="shared" si="1"/>
        <v>60000</v>
      </c>
      <c r="V13" s="109">
        <v>60000.0</v>
      </c>
      <c r="W13" s="38"/>
    </row>
    <row r="14">
      <c r="A14" s="110">
        <v>1251.0</v>
      </c>
      <c r="B14" s="111" t="s">
        <v>36</v>
      </c>
      <c r="C14" s="125">
        <v>3.0</v>
      </c>
      <c r="D14" s="125">
        <v>0.0</v>
      </c>
      <c r="E14" s="125">
        <v>52.0</v>
      </c>
      <c r="F14" s="125">
        <v>2.0</v>
      </c>
      <c r="G14" s="125">
        <v>3917.0</v>
      </c>
      <c r="H14" s="112" t="s">
        <v>72</v>
      </c>
      <c r="I14" s="113" t="s">
        <v>63</v>
      </c>
      <c r="J14" s="114" t="s">
        <v>63</v>
      </c>
      <c r="K14" s="126">
        <v>297776.8</v>
      </c>
      <c r="L14" s="126">
        <v>148888.4</v>
      </c>
      <c r="M14" s="126">
        <v>148888.4</v>
      </c>
      <c r="N14" s="126">
        <v>148888.4</v>
      </c>
      <c r="O14" s="126">
        <v>148888.4</v>
      </c>
      <c r="P14" s="126">
        <v>148888.4</v>
      </c>
      <c r="Q14" s="126">
        <v>148888.4</v>
      </c>
      <c r="R14" s="126">
        <v>148888.4</v>
      </c>
      <c r="S14" s="126">
        <v>148888.4</v>
      </c>
      <c r="T14" s="126">
        <v>297776.8</v>
      </c>
      <c r="U14" s="116">
        <f t="shared" si="1"/>
        <v>1786660.8</v>
      </c>
      <c r="V14" s="117">
        <v>7611661.0</v>
      </c>
      <c r="W14" s="118"/>
    </row>
    <row r="15">
      <c r="A15" s="110">
        <v>1251.0</v>
      </c>
      <c r="B15" s="111" t="s">
        <v>36</v>
      </c>
      <c r="C15" s="125">
        <v>3.0</v>
      </c>
      <c r="D15" s="125">
        <v>0.0</v>
      </c>
      <c r="E15" s="125">
        <v>52.0</v>
      </c>
      <c r="F15" s="125">
        <v>2.0</v>
      </c>
      <c r="G15" s="110">
        <v>3918.0</v>
      </c>
      <c r="H15" s="127" t="s">
        <v>73</v>
      </c>
      <c r="I15" s="113" t="s">
        <v>63</v>
      </c>
      <c r="J15" s="114" t="s">
        <v>63</v>
      </c>
      <c r="K15" s="115">
        <v>164232.5</v>
      </c>
      <c r="L15" s="115">
        <v>50000.0</v>
      </c>
      <c r="M15" s="115">
        <v>30000.0</v>
      </c>
      <c r="N15" s="115">
        <v>30000.0</v>
      </c>
      <c r="O15" s="115">
        <v>30000.0</v>
      </c>
      <c r="P15" s="115">
        <v>76455.0</v>
      </c>
      <c r="Q15" s="115">
        <v>30000.0</v>
      </c>
      <c r="R15" s="115">
        <v>30000.0</v>
      </c>
      <c r="S15" s="115">
        <v>30000.0</v>
      </c>
      <c r="T15" s="115">
        <v>30000.0</v>
      </c>
      <c r="U15" s="116">
        <f t="shared" si="1"/>
        <v>500687.5</v>
      </c>
      <c r="V15" s="119"/>
      <c r="W15" s="118"/>
    </row>
    <row r="16">
      <c r="A16" s="110">
        <v>1251.0</v>
      </c>
      <c r="B16" s="111" t="s">
        <v>36</v>
      </c>
      <c r="C16" s="125">
        <v>3.0</v>
      </c>
      <c r="D16" s="125">
        <v>0.0</v>
      </c>
      <c r="E16" s="125">
        <v>52.0</v>
      </c>
      <c r="F16" s="125">
        <v>2.0</v>
      </c>
      <c r="G16" s="110">
        <v>3919.0</v>
      </c>
      <c r="H16" s="112" t="s">
        <v>74</v>
      </c>
      <c r="I16" s="113" t="s">
        <v>63</v>
      </c>
      <c r="J16" s="114" t="s">
        <v>63</v>
      </c>
      <c r="K16" s="115" t="s">
        <v>63</v>
      </c>
      <c r="L16" s="115" t="s">
        <v>63</v>
      </c>
      <c r="M16" s="115" t="s">
        <v>63</v>
      </c>
      <c r="N16" s="115" t="s">
        <v>63</v>
      </c>
      <c r="O16" s="115" t="s">
        <v>63</v>
      </c>
      <c r="P16" s="115" t="s">
        <v>63</v>
      </c>
      <c r="Q16" s="115" t="s">
        <v>63</v>
      </c>
      <c r="R16" s="115" t="s">
        <v>63</v>
      </c>
      <c r="S16" s="115" t="s">
        <v>63</v>
      </c>
      <c r="T16" s="115" t="s">
        <v>63</v>
      </c>
      <c r="U16" s="128" t="s">
        <v>63</v>
      </c>
      <c r="V16" s="119"/>
      <c r="W16" s="118"/>
    </row>
    <row r="17">
      <c r="A17" s="110">
        <v>1251.0</v>
      </c>
      <c r="B17" s="111" t="s">
        <v>36</v>
      </c>
      <c r="C17" s="110">
        <v>3.0</v>
      </c>
      <c r="D17" s="110">
        <v>0.0</v>
      </c>
      <c r="E17" s="110">
        <v>52.0</v>
      </c>
      <c r="F17" s="110">
        <v>2.0</v>
      </c>
      <c r="G17" s="110">
        <v>3921.0</v>
      </c>
      <c r="H17" s="127" t="s">
        <v>75</v>
      </c>
      <c r="I17" s="113" t="s">
        <v>63</v>
      </c>
      <c r="J17" s="114" t="s">
        <v>63</v>
      </c>
      <c r="K17" s="126">
        <v>109210.7</v>
      </c>
      <c r="L17" s="115">
        <v>80000.0</v>
      </c>
      <c r="M17" s="115" t="s">
        <v>63</v>
      </c>
      <c r="N17" s="115">
        <v>68475.55</v>
      </c>
      <c r="O17" s="115" t="s">
        <v>63</v>
      </c>
      <c r="P17" s="115">
        <v>100000.0</v>
      </c>
      <c r="Q17" s="115" t="s">
        <v>63</v>
      </c>
      <c r="R17" s="115" t="s">
        <v>63</v>
      </c>
      <c r="S17" s="115" t="s">
        <v>63</v>
      </c>
      <c r="T17" s="115" t="s">
        <v>63</v>
      </c>
      <c r="U17" s="116">
        <f t="shared" ref="U17:U22" si="2">SUM(J17:T17)</f>
        <v>357686.25</v>
      </c>
      <c r="V17" s="119"/>
      <c r="W17" s="118"/>
    </row>
    <row r="18">
      <c r="A18" s="110">
        <v>1251.0</v>
      </c>
      <c r="B18" s="111" t="s">
        <v>36</v>
      </c>
      <c r="C18" s="125">
        <v>3.0</v>
      </c>
      <c r="D18" s="125">
        <v>0.0</v>
      </c>
      <c r="E18" s="125">
        <v>52.0</v>
      </c>
      <c r="F18" s="125">
        <v>2.0</v>
      </c>
      <c r="G18" s="110">
        <v>3922.0</v>
      </c>
      <c r="H18" s="127" t="s">
        <v>76</v>
      </c>
      <c r="I18" s="113" t="s">
        <v>63</v>
      </c>
      <c r="J18" s="114" t="s">
        <v>63</v>
      </c>
      <c r="K18" s="126">
        <v>132112.5</v>
      </c>
      <c r="L18" s="126" t="s">
        <v>63</v>
      </c>
      <c r="M18" s="115" t="s">
        <v>63</v>
      </c>
      <c r="N18" s="115" t="s">
        <v>63</v>
      </c>
      <c r="O18" s="115" t="s">
        <v>63</v>
      </c>
      <c r="P18" s="126">
        <v>80000.0</v>
      </c>
      <c r="Q18" s="115" t="s">
        <v>63</v>
      </c>
      <c r="R18" s="126">
        <v>90521.65</v>
      </c>
      <c r="S18" s="115" t="s">
        <v>63</v>
      </c>
      <c r="T18" s="115" t="s">
        <v>63</v>
      </c>
      <c r="U18" s="116">
        <f t="shared" si="2"/>
        <v>302634.15</v>
      </c>
      <c r="V18" s="119"/>
      <c r="W18" s="118"/>
    </row>
    <row r="19">
      <c r="A19" s="110">
        <v>1251.0</v>
      </c>
      <c r="B19" s="111" t="s">
        <v>36</v>
      </c>
      <c r="C19" s="125">
        <v>3.0</v>
      </c>
      <c r="D19" s="125">
        <v>0.0</v>
      </c>
      <c r="E19" s="125">
        <v>52.0</v>
      </c>
      <c r="F19" s="125">
        <v>2.0</v>
      </c>
      <c r="G19" s="110">
        <v>3924.0</v>
      </c>
      <c r="H19" s="127" t="s">
        <v>77</v>
      </c>
      <c r="I19" s="113" t="s">
        <v>63</v>
      </c>
      <c r="J19" s="114" t="s">
        <v>63</v>
      </c>
      <c r="K19" s="126">
        <v>502112.5</v>
      </c>
      <c r="L19" s="126" t="s">
        <v>63</v>
      </c>
      <c r="M19" s="115" t="s">
        <v>63</v>
      </c>
      <c r="N19" s="115" t="s">
        <v>63</v>
      </c>
      <c r="O19" s="126">
        <v>511879.8</v>
      </c>
      <c r="P19" s="126" t="s">
        <v>63</v>
      </c>
      <c r="Q19" s="126" t="s">
        <v>63</v>
      </c>
      <c r="R19" s="115">
        <v>40000.0</v>
      </c>
      <c r="S19" s="115" t="s">
        <v>63</v>
      </c>
      <c r="T19" s="115" t="s">
        <v>63</v>
      </c>
      <c r="U19" s="116">
        <f t="shared" si="2"/>
        <v>1053992.3</v>
      </c>
      <c r="V19" s="119"/>
      <c r="W19" s="118"/>
    </row>
    <row r="20">
      <c r="A20" s="110">
        <v>1251.0</v>
      </c>
      <c r="B20" s="111" t="s">
        <v>36</v>
      </c>
      <c r="C20" s="125">
        <v>3.0</v>
      </c>
      <c r="D20" s="125">
        <v>0.0</v>
      </c>
      <c r="E20" s="125">
        <v>52.0</v>
      </c>
      <c r="F20" s="125">
        <v>2.0</v>
      </c>
      <c r="G20" s="110">
        <v>3943.0</v>
      </c>
      <c r="H20" s="127" t="s">
        <v>78</v>
      </c>
      <c r="I20" s="113" t="s">
        <v>63</v>
      </c>
      <c r="J20" s="114" t="s">
        <v>63</v>
      </c>
      <c r="K20" s="126">
        <v>350000.0</v>
      </c>
      <c r="L20" s="126">
        <v>150000.0</v>
      </c>
      <c r="M20" s="126">
        <v>150000.0</v>
      </c>
      <c r="N20" s="126">
        <v>150000.0</v>
      </c>
      <c r="O20" s="126">
        <v>150000.0</v>
      </c>
      <c r="P20" s="126">
        <v>150000.0</v>
      </c>
      <c r="Q20" s="126">
        <v>150000.0</v>
      </c>
      <c r="R20" s="126">
        <v>150000.0</v>
      </c>
      <c r="S20" s="126">
        <v>150000.0</v>
      </c>
      <c r="T20" s="126">
        <v>280000.0</v>
      </c>
      <c r="U20" s="116">
        <f t="shared" si="2"/>
        <v>1830000</v>
      </c>
      <c r="V20" s="119"/>
      <c r="W20" s="118"/>
    </row>
    <row r="21">
      <c r="A21" s="129">
        <v>1251.0</v>
      </c>
      <c r="B21" s="130" t="s">
        <v>36</v>
      </c>
      <c r="C21" s="129">
        <v>3.0</v>
      </c>
      <c r="D21" s="129">
        <v>0.0</v>
      </c>
      <c r="E21" s="129">
        <v>52.0</v>
      </c>
      <c r="F21" s="129">
        <v>2.0</v>
      </c>
      <c r="G21" s="131">
        <v>3987.0</v>
      </c>
      <c r="H21" s="127" t="s">
        <v>79</v>
      </c>
      <c r="I21" s="113" t="s">
        <v>63</v>
      </c>
      <c r="J21" s="114" t="s">
        <v>63</v>
      </c>
      <c r="K21" s="132">
        <v>300000.0</v>
      </c>
      <c r="L21" s="132">
        <v>150000.0</v>
      </c>
      <c r="M21" s="132">
        <v>150000.0</v>
      </c>
      <c r="N21" s="132">
        <v>150000.0</v>
      </c>
      <c r="O21" s="132">
        <v>150000.0</v>
      </c>
      <c r="P21" s="132">
        <v>150000.0</v>
      </c>
      <c r="Q21" s="132">
        <v>150000.0</v>
      </c>
      <c r="R21" s="132">
        <v>150000.0</v>
      </c>
      <c r="S21" s="132">
        <v>150000.0</v>
      </c>
      <c r="T21" s="132">
        <v>280000.0</v>
      </c>
      <c r="U21" s="133">
        <f t="shared" si="2"/>
        <v>1780000</v>
      </c>
      <c r="V21" s="121"/>
      <c r="W21" s="118"/>
    </row>
    <row r="22">
      <c r="A22" s="134" t="s">
        <v>80</v>
      </c>
      <c r="B22" s="40"/>
      <c r="C22" s="40"/>
      <c r="D22" s="40"/>
      <c r="E22" s="40"/>
      <c r="F22" s="40"/>
      <c r="G22" s="41"/>
      <c r="H22" s="135"/>
      <c r="I22" s="136">
        <f t="shared" ref="I22:T22" si="3">SUM(I5:I21)</f>
        <v>0</v>
      </c>
      <c r="J22" s="136">
        <f t="shared" si="3"/>
        <v>250000</v>
      </c>
      <c r="K22" s="136">
        <f t="shared" si="3"/>
        <v>3000000</v>
      </c>
      <c r="L22" s="136">
        <f t="shared" si="3"/>
        <v>1212223.2</v>
      </c>
      <c r="M22" s="136">
        <f t="shared" si="3"/>
        <v>1235412.85</v>
      </c>
      <c r="N22" s="137">
        <f t="shared" si="3"/>
        <v>802363.95</v>
      </c>
      <c r="O22" s="136">
        <f t="shared" si="3"/>
        <v>1245768.2</v>
      </c>
      <c r="P22" s="136">
        <f t="shared" si="3"/>
        <v>1260343.4</v>
      </c>
      <c r="Q22" s="136">
        <f t="shared" si="3"/>
        <v>743888.4</v>
      </c>
      <c r="R22" s="137">
        <f t="shared" si="3"/>
        <v>1158334.8</v>
      </c>
      <c r="S22" s="136">
        <f t="shared" si="3"/>
        <v>783888.4</v>
      </c>
      <c r="T22" s="136">
        <f t="shared" si="3"/>
        <v>1307776.8</v>
      </c>
      <c r="U22" s="138">
        <f t="shared" si="2"/>
        <v>13000000</v>
      </c>
      <c r="V22" s="109">
        <v>1.3E7</v>
      </c>
      <c r="W22" s="38"/>
    </row>
    <row r="23">
      <c r="A23" s="139" t="s">
        <v>81</v>
      </c>
      <c r="B23" s="40"/>
      <c r="C23" s="40"/>
      <c r="D23" s="40"/>
      <c r="E23" s="40"/>
      <c r="F23" s="40"/>
      <c r="G23" s="41"/>
      <c r="H23" s="140"/>
      <c r="I23" s="141">
        <f>SUM(I22:K22)</f>
        <v>3250000</v>
      </c>
      <c r="J23" s="40"/>
      <c r="K23" s="41"/>
      <c r="L23" s="141">
        <f>SUM(L22:N22)</f>
        <v>3250000</v>
      </c>
      <c r="M23" s="40"/>
      <c r="N23" s="41"/>
      <c r="O23" s="141">
        <f>SUM(O22:Q22)</f>
        <v>3250000</v>
      </c>
      <c r="P23" s="40"/>
      <c r="Q23" s="41"/>
      <c r="R23" s="141">
        <f>SUM(R22:T22)</f>
        <v>3250000</v>
      </c>
      <c r="S23" s="40"/>
      <c r="T23" s="41"/>
      <c r="U23" s="137">
        <f>SUM(I23:T23)</f>
        <v>13000000</v>
      </c>
      <c r="V23" s="38"/>
      <c r="W23" s="38"/>
    </row>
    <row r="24">
      <c r="A24" s="38"/>
      <c r="B24" s="38"/>
      <c r="C24" s="38"/>
      <c r="D24" s="38"/>
      <c r="E24" s="38"/>
      <c r="F24" s="38"/>
      <c r="G24" s="99"/>
      <c r="H24" s="99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</row>
    <row r="25">
      <c r="A25" s="38"/>
      <c r="B25" s="38"/>
      <c r="C25" s="38"/>
      <c r="D25" s="38"/>
      <c r="E25" s="38"/>
      <c r="F25" s="38"/>
      <c r="G25" s="99"/>
      <c r="H25" s="99"/>
      <c r="I25" s="38"/>
      <c r="J25" s="38"/>
      <c r="K25" s="38"/>
      <c r="L25" s="142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</row>
  </sheetData>
  <mergeCells count="9">
    <mergeCell ref="O23:Q23"/>
    <mergeCell ref="R23:T23"/>
    <mergeCell ref="J2:R2"/>
    <mergeCell ref="V6:V12"/>
    <mergeCell ref="V14:V21"/>
    <mergeCell ref="A22:G22"/>
    <mergeCell ref="A23:G23"/>
    <mergeCell ref="I23:K23"/>
    <mergeCell ref="L23:N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/>
      <c r="B1" s="143"/>
      <c r="C1" s="143"/>
      <c r="D1" s="143"/>
      <c r="E1" s="143"/>
      <c r="F1" s="144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>
      <c r="A2" s="143"/>
      <c r="B2" s="145" t="s">
        <v>82</v>
      </c>
      <c r="C2" s="40"/>
      <c r="D2" s="40"/>
      <c r="E2" s="40"/>
      <c r="F2" s="40"/>
      <c r="G2" s="40"/>
      <c r="H2" s="40"/>
      <c r="I2" s="40"/>
      <c r="J2" s="40"/>
      <c r="K2" s="41"/>
      <c r="L2" s="143"/>
      <c r="M2" s="143"/>
      <c r="N2" s="143"/>
      <c r="O2" s="143"/>
      <c r="P2" s="143"/>
      <c r="Q2" s="143"/>
    </row>
    <row r="3">
      <c r="A3" s="143"/>
      <c r="B3" s="143"/>
      <c r="C3" s="143"/>
      <c r="D3" s="143"/>
      <c r="E3" s="143"/>
      <c r="F3" s="144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</row>
    <row r="4">
      <c r="A4" s="146" t="s">
        <v>83</v>
      </c>
      <c r="B4" s="146" t="s">
        <v>84</v>
      </c>
      <c r="C4" s="146" t="s">
        <v>21</v>
      </c>
      <c r="D4" s="147" t="s">
        <v>22</v>
      </c>
      <c r="E4" s="147" t="s">
        <v>23</v>
      </c>
      <c r="F4" s="148" t="s">
        <v>24</v>
      </c>
      <c r="G4" s="147" t="s">
        <v>25</v>
      </c>
      <c r="H4" s="149" t="s">
        <v>26</v>
      </c>
      <c r="I4" s="149" t="s">
        <v>27</v>
      </c>
      <c r="J4" s="149" t="s">
        <v>28</v>
      </c>
      <c r="K4" s="149" t="s">
        <v>29</v>
      </c>
      <c r="L4" s="150" t="s">
        <v>30</v>
      </c>
      <c r="M4" s="150" t="s">
        <v>31</v>
      </c>
      <c r="N4" s="150" t="s">
        <v>32</v>
      </c>
      <c r="O4" s="150" t="s">
        <v>33</v>
      </c>
      <c r="P4" s="151" t="s">
        <v>85</v>
      </c>
      <c r="Q4" s="152" t="s">
        <v>86</v>
      </c>
    </row>
    <row r="5">
      <c r="A5" s="153" t="s">
        <v>87</v>
      </c>
      <c r="B5" s="154">
        <v>1.0</v>
      </c>
      <c r="C5" s="154" t="s">
        <v>88</v>
      </c>
      <c r="D5" s="155" t="s">
        <v>63</v>
      </c>
      <c r="E5" s="155" t="s">
        <v>63</v>
      </c>
      <c r="F5" s="156">
        <v>250000.0</v>
      </c>
      <c r="G5" s="157">
        <v>130000.0</v>
      </c>
      <c r="H5" s="158"/>
      <c r="I5" s="157">
        <v>150000.0</v>
      </c>
      <c r="J5" s="155" t="s">
        <v>63</v>
      </c>
      <c r="K5" s="155" t="s">
        <v>63</v>
      </c>
      <c r="L5" s="155" t="s">
        <v>63</v>
      </c>
      <c r="M5" s="155" t="s">
        <v>63</v>
      </c>
      <c r="N5" s="155" t="s">
        <v>63</v>
      </c>
      <c r="O5" s="155" t="s">
        <v>63</v>
      </c>
      <c r="P5" s="159">
        <f t="shared" ref="P5:P26" si="1">SUM(D5:O5)</f>
        <v>530000</v>
      </c>
      <c r="Q5" s="160">
        <v>850000.0</v>
      </c>
    </row>
    <row r="6">
      <c r="A6" s="161" t="s">
        <v>89</v>
      </c>
      <c r="B6" s="162">
        <v>16.0</v>
      </c>
      <c r="C6" s="162" t="s">
        <v>90</v>
      </c>
      <c r="D6" s="163" t="s">
        <v>63</v>
      </c>
      <c r="E6" s="163" t="s">
        <v>63</v>
      </c>
      <c r="F6" s="164">
        <v>50000.0</v>
      </c>
      <c r="G6" s="165" t="s">
        <v>63</v>
      </c>
      <c r="H6" s="166" t="s">
        <v>63</v>
      </c>
      <c r="I6" s="163" t="s">
        <v>63</v>
      </c>
      <c r="J6" s="163" t="s">
        <v>63</v>
      </c>
      <c r="K6" s="163" t="s">
        <v>63</v>
      </c>
      <c r="L6" s="163" t="s">
        <v>63</v>
      </c>
      <c r="M6" s="163" t="s">
        <v>63</v>
      </c>
      <c r="N6" s="163" t="s">
        <v>63</v>
      </c>
      <c r="O6" s="163" t="s">
        <v>63</v>
      </c>
      <c r="P6" s="167">
        <f t="shared" si="1"/>
        <v>50000</v>
      </c>
      <c r="Q6" s="166">
        <f t="shared" ref="Q6:Q7" si="2">SUM(G6:P6)</f>
        <v>50000</v>
      </c>
    </row>
    <row r="7">
      <c r="A7" s="161" t="s">
        <v>89</v>
      </c>
      <c r="B7" s="162">
        <v>19.0</v>
      </c>
      <c r="C7" s="162" t="s">
        <v>91</v>
      </c>
      <c r="D7" s="163" t="s">
        <v>63</v>
      </c>
      <c r="E7" s="163" t="s">
        <v>63</v>
      </c>
      <c r="F7" s="164">
        <v>80000.0</v>
      </c>
      <c r="G7" s="165" t="s">
        <v>63</v>
      </c>
      <c r="H7" s="166" t="s">
        <v>63</v>
      </c>
      <c r="I7" s="163" t="s">
        <v>63</v>
      </c>
      <c r="J7" s="163" t="s">
        <v>63</v>
      </c>
      <c r="K7" s="163" t="s">
        <v>63</v>
      </c>
      <c r="L7" s="163" t="s">
        <v>63</v>
      </c>
      <c r="M7" s="163" t="s">
        <v>63</v>
      </c>
      <c r="N7" s="163" t="s">
        <v>63</v>
      </c>
      <c r="O7" s="163" t="s">
        <v>63</v>
      </c>
      <c r="P7" s="167">
        <f t="shared" si="1"/>
        <v>80000</v>
      </c>
      <c r="Q7" s="166">
        <f t="shared" si="2"/>
        <v>80000</v>
      </c>
    </row>
    <row r="8">
      <c r="A8" s="161" t="s">
        <v>89</v>
      </c>
      <c r="B8" s="162">
        <v>26.0</v>
      </c>
      <c r="C8" s="168" t="s">
        <v>92</v>
      </c>
      <c r="D8" s="163" t="s">
        <v>63</v>
      </c>
      <c r="E8" s="163" t="s">
        <v>63</v>
      </c>
      <c r="F8" s="164">
        <v>300000.0</v>
      </c>
      <c r="G8" s="169">
        <v>300000.0</v>
      </c>
      <c r="H8" s="166">
        <v>300000.0</v>
      </c>
      <c r="I8" s="166">
        <v>300000.0</v>
      </c>
      <c r="J8" s="170" t="s">
        <v>63</v>
      </c>
      <c r="K8" s="170" t="s">
        <v>63</v>
      </c>
      <c r="L8" s="170" t="s">
        <v>63</v>
      </c>
      <c r="M8" s="170" t="s">
        <v>63</v>
      </c>
      <c r="N8" s="170" t="s">
        <v>63</v>
      </c>
      <c r="O8" s="170" t="s">
        <v>63</v>
      </c>
      <c r="P8" s="167">
        <f t="shared" si="1"/>
        <v>1200000</v>
      </c>
      <c r="Q8" s="166">
        <v>1200000.0</v>
      </c>
    </row>
    <row r="9">
      <c r="A9" s="161" t="s">
        <v>93</v>
      </c>
      <c r="B9" s="171">
        <v>1.0</v>
      </c>
      <c r="C9" s="162" t="s">
        <v>94</v>
      </c>
      <c r="D9" s="163" t="s">
        <v>63</v>
      </c>
      <c r="E9" s="163" t="s">
        <v>63</v>
      </c>
      <c r="F9" s="164">
        <v>100000.0</v>
      </c>
      <c r="G9" s="169">
        <v>100000.0</v>
      </c>
      <c r="H9" s="166">
        <v>100000.0</v>
      </c>
      <c r="I9" s="166">
        <v>100000.0</v>
      </c>
      <c r="J9" s="166" t="s">
        <v>63</v>
      </c>
      <c r="K9" s="166" t="s">
        <v>63</v>
      </c>
      <c r="L9" s="170" t="s">
        <v>63</v>
      </c>
      <c r="M9" s="170" t="s">
        <v>63</v>
      </c>
      <c r="N9" s="170" t="s">
        <v>63</v>
      </c>
      <c r="O9" s="170" t="s">
        <v>63</v>
      </c>
      <c r="P9" s="167">
        <f t="shared" si="1"/>
        <v>400000</v>
      </c>
      <c r="Q9" s="166">
        <v>400000.0</v>
      </c>
    </row>
    <row r="10">
      <c r="A10" s="172">
        <v>39.0</v>
      </c>
      <c r="B10" s="161">
        <v>18.0</v>
      </c>
      <c r="C10" s="173" t="s">
        <v>48</v>
      </c>
      <c r="D10" s="163" t="s">
        <v>63</v>
      </c>
      <c r="E10" s="163" t="s">
        <v>63</v>
      </c>
      <c r="F10" s="164">
        <v>30000.0</v>
      </c>
      <c r="G10" s="169">
        <v>30000.0</v>
      </c>
      <c r="H10" s="166">
        <v>30000.0</v>
      </c>
      <c r="I10" s="166">
        <v>30000.0</v>
      </c>
      <c r="J10" s="170" t="s">
        <v>63</v>
      </c>
      <c r="K10" s="170" t="s">
        <v>63</v>
      </c>
      <c r="L10" s="170" t="s">
        <v>63</v>
      </c>
      <c r="M10" s="170" t="s">
        <v>63</v>
      </c>
      <c r="N10" s="170" t="s">
        <v>63</v>
      </c>
      <c r="O10" s="170" t="s">
        <v>63</v>
      </c>
      <c r="P10" s="167">
        <f t="shared" si="1"/>
        <v>120000</v>
      </c>
      <c r="Q10" s="166">
        <v>120000.0</v>
      </c>
    </row>
    <row r="11">
      <c r="A11" s="172">
        <v>39.0</v>
      </c>
      <c r="B11" s="171">
        <v>19.0</v>
      </c>
      <c r="C11" s="162" t="s">
        <v>95</v>
      </c>
      <c r="D11" s="163" t="s">
        <v>63</v>
      </c>
      <c r="E11" s="163" t="s">
        <v>63</v>
      </c>
      <c r="F11" s="164">
        <v>10000.0</v>
      </c>
      <c r="G11" s="169">
        <v>10000.0</v>
      </c>
      <c r="H11" s="166">
        <v>10000.0</v>
      </c>
      <c r="I11" s="166">
        <v>10000.0</v>
      </c>
      <c r="J11" s="170" t="s">
        <v>63</v>
      </c>
      <c r="K11" s="170" t="s">
        <v>63</v>
      </c>
      <c r="L11" s="170" t="s">
        <v>63</v>
      </c>
      <c r="M11" s="170" t="s">
        <v>63</v>
      </c>
      <c r="N11" s="170" t="s">
        <v>63</v>
      </c>
      <c r="O11" s="170" t="s">
        <v>63</v>
      </c>
      <c r="P11" s="167">
        <f t="shared" si="1"/>
        <v>40000</v>
      </c>
      <c r="Q11" s="174">
        <v>40000.0</v>
      </c>
    </row>
    <row r="12">
      <c r="A12" s="172">
        <v>39.0</v>
      </c>
      <c r="B12" s="171">
        <v>21.0</v>
      </c>
      <c r="C12" s="162" t="s">
        <v>96</v>
      </c>
      <c r="D12" s="175" t="s">
        <v>63</v>
      </c>
      <c r="E12" s="175" t="s">
        <v>63</v>
      </c>
      <c r="F12" s="164">
        <v>25000.0</v>
      </c>
      <c r="G12" s="165" t="s">
        <v>63</v>
      </c>
      <c r="H12" s="176" t="s">
        <v>63</v>
      </c>
      <c r="I12" s="177" t="s">
        <v>63</v>
      </c>
      <c r="J12" s="177" t="s">
        <v>63</v>
      </c>
      <c r="K12" s="177" t="s">
        <v>63</v>
      </c>
      <c r="L12" s="177" t="s">
        <v>63</v>
      </c>
      <c r="M12" s="177" t="s">
        <v>63</v>
      </c>
      <c r="N12" s="177" t="s">
        <v>63</v>
      </c>
      <c r="O12" s="177" t="s">
        <v>63</v>
      </c>
      <c r="P12" s="178">
        <f t="shared" si="1"/>
        <v>25000</v>
      </c>
      <c r="Q12" s="179">
        <f>SUM(P12:P15)</f>
        <v>686875</v>
      </c>
    </row>
    <row r="13">
      <c r="A13" s="172">
        <v>39.0</v>
      </c>
      <c r="B13" s="171">
        <v>21.0</v>
      </c>
      <c r="C13" s="162" t="s">
        <v>97</v>
      </c>
      <c r="D13" s="175" t="s">
        <v>63</v>
      </c>
      <c r="E13" s="175" t="s">
        <v>63</v>
      </c>
      <c r="F13" s="164">
        <v>10000.0</v>
      </c>
      <c r="G13" s="169">
        <v>10000.0</v>
      </c>
      <c r="H13" s="176">
        <v>10000.0</v>
      </c>
      <c r="I13" s="176">
        <v>10000.0</v>
      </c>
      <c r="J13" s="177" t="s">
        <v>63</v>
      </c>
      <c r="K13" s="177" t="s">
        <v>63</v>
      </c>
      <c r="L13" s="177" t="s">
        <v>63</v>
      </c>
      <c r="M13" s="177" t="s">
        <v>63</v>
      </c>
      <c r="N13" s="177" t="s">
        <v>63</v>
      </c>
      <c r="O13" s="177" t="s">
        <v>63</v>
      </c>
      <c r="P13" s="178">
        <f t="shared" si="1"/>
        <v>40000</v>
      </c>
      <c r="Q13" s="65"/>
    </row>
    <row r="14">
      <c r="A14" s="172">
        <v>39.0</v>
      </c>
      <c r="B14" s="171">
        <v>21.0</v>
      </c>
      <c r="C14" s="162" t="s">
        <v>98</v>
      </c>
      <c r="D14" s="175" t="s">
        <v>63</v>
      </c>
      <c r="E14" s="175" t="s">
        <v>63</v>
      </c>
      <c r="F14" s="164">
        <v>400000.0</v>
      </c>
      <c r="G14" s="165" t="s">
        <v>63</v>
      </c>
      <c r="H14" s="176" t="s">
        <v>63</v>
      </c>
      <c r="I14" s="177" t="s">
        <v>63</v>
      </c>
      <c r="J14" s="177" t="s">
        <v>63</v>
      </c>
      <c r="K14" s="177" t="s">
        <v>63</v>
      </c>
      <c r="L14" s="177" t="s">
        <v>63</v>
      </c>
      <c r="M14" s="177" t="s">
        <v>63</v>
      </c>
      <c r="N14" s="177" t="s">
        <v>63</v>
      </c>
      <c r="O14" s="177" t="s">
        <v>63</v>
      </c>
      <c r="P14" s="178">
        <f t="shared" si="1"/>
        <v>400000</v>
      </c>
      <c r="Q14" s="65"/>
    </row>
    <row r="15">
      <c r="A15" s="172">
        <v>39.0</v>
      </c>
      <c r="B15" s="161">
        <v>21.0</v>
      </c>
      <c r="C15" s="172" t="s">
        <v>99</v>
      </c>
      <c r="D15" s="175" t="s">
        <v>63</v>
      </c>
      <c r="E15" s="175" t="s">
        <v>63</v>
      </c>
      <c r="F15" s="164">
        <v>181875.0</v>
      </c>
      <c r="G15" s="180">
        <v>20000.0</v>
      </c>
      <c r="H15" s="180">
        <v>20000.0</v>
      </c>
      <c r="I15" s="176" t="s">
        <v>63</v>
      </c>
      <c r="J15" s="177" t="s">
        <v>63</v>
      </c>
      <c r="K15" s="177" t="s">
        <v>63</v>
      </c>
      <c r="L15" s="177" t="s">
        <v>63</v>
      </c>
      <c r="M15" s="177" t="s">
        <v>63</v>
      </c>
      <c r="N15" s="177" t="s">
        <v>63</v>
      </c>
      <c r="O15" s="177" t="s">
        <v>63</v>
      </c>
      <c r="P15" s="178">
        <f t="shared" si="1"/>
        <v>221875</v>
      </c>
      <c r="Q15" s="69"/>
    </row>
    <row r="16">
      <c r="A16" s="172">
        <v>39.0</v>
      </c>
      <c r="B16" s="171">
        <v>22.0</v>
      </c>
      <c r="C16" s="162" t="s">
        <v>100</v>
      </c>
      <c r="D16" s="163" t="s">
        <v>63</v>
      </c>
      <c r="E16" s="163" t="s">
        <v>63</v>
      </c>
      <c r="F16" s="164">
        <v>1800.0</v>
      </c>
      <c r="G16" s="169">
        <v>1800.0</v>
      </c>
      <c r="H16" s="166">
        <v>1800.0</v>
      </c>
      <c r="I16" s="166">
        <v>1800.0</v>
      </c>
      <c r="J16" s="170" t="s">
        <v>63</v>
      </c>
      <c r="K16" s="170" t="s">
        <v>63</v>
      </c>
      <c r="L16" s="170" t="s">
        <v>63</v>
      </c>
      <c r="M16" s="170" t="s">
        <v>63</v>
      </c>
      <c r="N16" s="170" t="s">
        <v>63</v>
      </c>
      <c r="O16" s="170" t="s">
        <v>63</v>
      </c>
      <c r="P16" s="167">
        <f t="shared" si="1"/>
        <v>7200</v>
      </c>
      <c r="Q16" s="181">
        <v>7200.0</v>
      </c>
    </row>
    <row r="17">
      <c r="A17" s="172">
        <v>39.0</v>
      </c>
      <c r="B17" s="171">
        <v>43.0</v>
      </c>
      <c r="C17" s="168" t="s">
        <v>101</v>
      </c>
      <c r="D17" s="163" t="s">
        <v>63</v>
      </c>
      <c r="E17" s="163" t="s">
        <v>63</v>
      </c>
      <c r="F17" s="164">
        <v>300000.0</v>
      </c>
      <c r="G17" s="169">
        <v>300000.0</v>
      </c>
      <c r="H17" s="166">
        <v>300000.0</v>
      </c>
      <c r="I17" s="180">
        <v>227438.0</v>
      </c>
      <c r="J17" s="166" t="s">
        <v>63</v>
      </c>
      <c r="K17" s="166" t="s">
        <v>63</v>
      </c>
      <c r="L17" s="166" t="s">
        <v>63</v>
      </c>
      <c r="M17" s="166" t="s">
        <v>63</v>
      </c>
      <c r="N17" s="166" t="s">
        <v>63</v>
      </c>
      <c r="O17" s="166" t="s">
        <v>63</v>
      </c>
      <c r="P17" s="167">
        <f t="shared" si="1"/>
        <v>1127438</v>
      </c>
      <c r="Q17" s="166">
        <v>1200000.0</v>
      </c>
    </row>
    <row r="18">
      <c r="A18" s="172">
        <v>39.0</v>
      </c>
      <c r="B18" s="171">
        <v>52.0</v>
      </c>
      <c r="C18" s="162" t="s">
        <v>102</v>
      </c>
      <c r="D18" s="163" t="s">
        <v>63</v>
      </c>
      <c r="E18" s="163" t="s">
        <v>63</v>
      </c>
      <c r="F18" s="164">
        <v>125000.0</v>
      </c>
      <c r="G18" s="169">
        <v>125000.0</v>
      </c>
      <c r="H18" s="166">
        <v>125000.0</v>
      </c>
      <c r="I18" s="166">
        <v>125000.0</v>
      </c>
      <c r="J18" s="170" t="s">
        <v>63</v>
      </c>
      <c r="K18" s="166" t="s">
        <v>63</v>
      </c>
      <c r="L18" s="166" t="s">
        <v>63</v>
      </c>
      <c r="M18" s="166" t="s">
        <v>63</v>
      </c>
      <c r="N18" s="166" t="s">
        <v>63</v>
      </c>
      <c r="O18" s="166" t="s">
        <v>63</v>
      </c>
      <c r="P18" s="167">
        <f t="shared" si="1"/>
        <v>500000</v>
      </c>
      <c r="Q18" s="166">
        <v>500000.0</v>
      </c>
    </row>
    <row r="19">
      <c r="A19" s="172">
        <v>39.0</v>
      </c>
      <c r="B19" s="171">
        <v>61.0</v>
      </c>
      <c r="C19" s="162" t="s">
        <v>103</v>
      </c>
      <c r="D19" s="163" t="s">
        <v>63</v>
      </c>
      <c r="E19" s="163" t="s">
        <v>63</v>
      </c>
      <c r="F19" s="164">
        <v>20000.0</v>
      </c>
      <c r="G19" s="165" t="s">
        <v>63</v>
      </c>
      <c r="H19" s="166" t="s">
        <v>63</v>
      </c>
      <c r="I19" s="170" t="s">
        <v>63</v>
      </c>
      <c r="J19" s="170" t="s">
        <v>63</v>
      </c>
      <c r="K19" s="166" t="s">
        <v>63</v>
      </c>
      <c r="L19" s="166" t="s">
        <v>63</v>
      </c>
      <c r="M19" s="166" t="s">
        <v>63</v>
      </c>
      <c r="N19" s="166" t="s">
        <v>63</v>
      </c>
      <c r="O19" s="166" t="s">
        <v>63</v>
      </c>
      <c r="P19" s="167">
        <f t="shared" si="1"/>
        <v>20000</v>
      </c>
      <c r="Q19" s="166">
        <f>SUM(G19:P19)</f>
        <v>20000</v>
      </c>
    </row>
    <row r="20">
      <c r="A20" s="172">
        <v>39.0</v>
      </c>
      <c r="B20" s="161">
        <v>87.0</v>
      </c>
      <c r="C20" s="173" t="s">
        <v>104</v>
      </c>
      <c r="D20" s="163" t="s">
        <v>63</v>
      </c>
      <c r="E20" s="163" t="s">
        <v>63</v>
      </c>
      <c r="F20" s="164">
        <v>102014.0</v>
      </c>
      <c r="G20" s="180">
        <v>33887.0</v>
      </c>
      <c r="H20" s="180">
        <v>33887.0</v>
      </c>
      <c r="I20" s="166">
        <v>102012.0</v>
      </c>
      <c r="J20" s="170" t="s">
        <v>63</v>
      </c>
      <c r="K20" s="166" t="s">
        <v>63</v>
      </c>
      <c r="L20" s="166" t="s">
        <v>63</v>
      </c>
      <c r="M20" s="166" t="s">
        <v>63</v>
      </c>
      <c r="N20" s="166" t="s">
        <v>63</v>
      </c>
      <c r="O20" s="166" t="s">
        <v>63</v>
      </c>
      <c r="P20" s="167">
        <f t="shared" si="1"/>
        <v>271800</v>
      </c>
      <c r="Q20" s="166">
        <v>408050.0</v>
      </c>
    </row>
    <row r="21">
      <c r="A21" s="172">
        <v>40.0</v>
      </c>
      <c r="B21" s="171">
        <v>2.0</v>
      </c>
      <c r="C21" s="162" t="s">
        <v>105</v>
      </c>
      <c r="D21" s="163" t="s">
        <v>63</v>
      </c>
      <c r="E21" s="163" t="s">
        <v>63</v>
      </c>
      <c r="F21" s="164">
        <v>476000.0</v>
      </c>
      <c r="G21" s="169">
        <v>238000.0</v>
      </c>
      <c r="H21" s="166">
        <v>238000.0</v>
      </c>
      <c r="I21" s="166">
        <v>238000.0</v>
      </c>
      <c r="J21" s="170" t="s">
        <v>63</v>
      </c>
      <c r="K21" s="170" t="s">
        <v>63</v>
      </c>
      <c r="L21" s="170" t="s">
        <v>63</v>
      </c>
      <c r="M21" s="170" t="s">
        <v>63</v>
      </c>
      <c r="N21" s="170" t="s">
        <v>63</v>
      </c>
      <c r="O21" s="170" t="s">
        <v>63</v>
      </c>
      <c r="P21" s="167">
        <f t="shared" si="1"/>
        <v>1190000</v>
      </c>
      <c r="Q21" s="166">
        <v>1190000.0</v>
      </c>
    </row>
    <row r="22">
      <c r="A22" s="172">
        <v>40.0</v>
      </c>
      <c r="B22" s="161">
        <v>4.0</v>
      </c>
      <c r="C22" s="172" t="s">
        <v>106</v>
      </c>
      <c r="D22" s="163" t="s">
        <v>63</v>
      </c>
      <c r="E22" s="163" t="s">
        <v>63</v>
      </c>
      <c r="F22" s="164">
        <v>5750.0</v>
      </c>
      <c r="G22" s="169">
        <v>5750.0</v>
      </c>
      <c r="H22" s="166">
        <v>5750.0</v>
      </c>
      <c r="I22" s="166">
        <v>5750.0</v>
      </c>
      <c r="J22" s="170" t="s">
        <v>63</v>
      </c>
      <c r="K22" s="170" t="s">
        <v>63</v>
      </c>
      <c r="L22" s="170" t="s">
        <v>63</v>
      </c>
      <c r="M22" s="170" t="s">
        <v>63</v>
      </c>
      <c r="N22" s="170" t="s">
        <v>63</v>
      </c>
      <c r="O22" s="170" t="s">
        <v>63</v>
      </c>
      <c r="P22" s="167">
        <f t="shared" si="1"/>
        <v>23000</v>
      </c>
      <c r="Q22" s="166">
        <v>23000.0</v>
      </c>
    </row>
    <row r="23">
      <c r="A23" s="182">
        <v>47.0</v>
      </c>
      <c r="B23" s="183">
        <v>7.0</v>
      </c>
      <c r="C23" s="182" t="s">
        <v>107</v>
      </c>
      <c r="D23" s="163" t="s">
        <v>63</v>
      </c>
      <c r="E23" s="163" t="s">
        <v>63</v>
      </c>
      <c r="F23" s="164">
        <v>5000.0</v>
      </c>
      <c r="G23" s="163" t="s">
        <v>63</v>
      </c>
      <c r="H23" s="166" t="s">
        <v>63</v>
      </c>
      <c r="I23" s="170" t="s">
        <v>63</v>
      </c>
      <c r="J23" s="166" t="s">
        <v>63</v>
      </c>
      <c r="K23" s="170" t="s">
        <v>63</v>
      </c>
      <c r="L23" s="170" t="s">
        <v>63</v>
      </c>
      <c r="M23" s="170" t="s">
        <v>63</v>
      </c>
      <c r="N23" s="170" t="s">
        <v>63</v>
      </c>
      <c r="O23" s="170" t="s">
        <v>63</v>
      </c>
      <c r="P23" s="167">
        <f t="shared" si="1"/>
        <v>5000</v>
      </c>
      <c r="Q23" s="166">
        <f t="shared" ref="Q23:Q26" si="3">SUM(G23:P23)</f>
        <v>5000</v>
      </c>
    </row>
    <row r="24">
      <c r="A24" s="184">
        <v>51.0</v>
      </c>
      <c r="B24" s="185">
        <v>3.0</v>
      </c>
      <c r="C24" s="184" t="s">
        <v>108</v>
      </c>
      <c r="D24" s="186" t="s">
        <v>63</v>
      </c>
      <c r="E24" s="187">
        <v>1600000.92</v>
      </c>
      <c r="F24" s="188"/>
      <c r="G24" s="189"/>
      <c r="H24" s="190"/>
      <c r="I24" s="170" t="s">
        <v>63</v>
      </c>
      <c r="J24" s="170" t="s">
        <v>63</v>
      </c>
      <c r="K24" s="170" t="s">
        <v>63</v>
      </c>
      <c r="L24" s="170" t="s">
        <v>63</v>
      </c>
      <c r="M24" s="170" t="s">
        <v>63</v>
      </c>
      <c r="N24" s="170" t="s">
        <v>63</v>
      </c>
      <c r="O24" s="170" t="s">
        <v>63</v>
      </c>
      <c r="P24" s="167">
        <f t="shared" si="1"/>
        <v>1600000.92</v>
      </c>
      <c r="Q24" s="166">
        <f t="shared" si="3"/>
        <v>1600000.92</v>
      </c>
    </row>
    <row r="25">
      <c r="A25" s="184">
        <v>52.0</v>
      </c>
      <c r="B25" s="185">
        <v>17.0</v>
      </c>
      <c r="C25" s="184" t="s">
        <v>109</v>
      </c>
      <c r="D25" s="186" t="s">
        <v>63</v>
      </c>
      <c r="E25" s="187">
        <v>4080000.0</v>
      </c>
      <c r="F25" s="188"/>
      <c r="G25" s="175" t="s">
        <v>63</v>
      </c>
      <c r="H25" s="176" t="s">
        <v>63</v>
      </c>
      <c r="I25" s="177" t="s">
        <v>63</v>
      </c>
      <c r="J25" s="176" t="s">
        <v>63</v>
      </c>
      <c r="K25" s="176" t="s">
        <v>63</v>
      </c>
      <c r="L25" s="176" t="s">
        <v>63</v>
      </c>
      <c r="M25" s="176" t="s">
        <v>63</v>
      </c>
      <c r="N25" s="176" t="s">
        <v>63</v>
      </c>
      <c r="O25" s="176" t="s">
        <v>63</v>
      </c>
      <c r="P25" s="191">
        <f t="shared" si="1"/>
        <v>4080000</v>
      </c>
      <c r="Q25" s="176">
        <f t="shared" si="3"/>
        <v>4080000</v>
      </c>
    </row>
    <row r="26">
      <c r="A26" s="192" t="s">
        <v>110</v>
      </c>
      <c r="B26" s="192">
        <v>6.0</v>
      </c>
      <c r="C26" s="193" t="s">
        <v>111</v>
      </c>
      <c r="D26" s="186" t="s">
        <v>63</v>
      </c>
      <c r="E26" s="187">
        <v>120750.0</v>
      </c>
      <c r="F26" s="188"/>
      <c r="G26" s="163" t="s">
        <v>63</v>
      </c>
      <c r="H26" s="166" t="s">
        <v>63</v>
      </c>
      <c r="I26" s="170" t="s">
        <v>63</v>
      </c>
      <c r="J26" s="170" t="s">
        <v>63</v>
      </c>
      <c r="K26" s="170" t="s">
        <v>63</v>
      </c>
      <c r="L26" s="170" t="s">
        <v>63</v>
      </c>
      <c r="M26" s="170" t="s">
        <v>63</v>
      </c>
      <c r="N26" s="170" t="s">
        <v>63</v>
      </c>
      <c r="O26" s="170" t="s">
        <v>63</v>
      </c>
      <c r="P26" s="167">
        <f t="shared" si="1"/>
        <v>120750</v>
      </c>
      <c r="Q26" s="166">
        <f t="shared" si="3"/>
        <v>120750</v>
      </c>
    </row>
    <row r="27">
      <c r="A27" s="194" t="s">
        <v>112</v>
      </c>
      <c r="B27" s="21"/>
      <c r="C27" s="195"/>
      <c r="D27" s="196"/>
      <c r="E27" s="197">
        <f>SUM(E24:E26)</f>
        <v>5800750.92</v>
      </c>
      <c r="F27" s="198">
        <f t="shared" ref="F27:I27" si="4">SUM(F5:F26)</f>
        <v>2472439</v>
      </c>
      <c r="G27" s="197">
        <f t="shared" si="4"/>
        <v>1304437</v>
      </c>
      <c r="H27" s="197">
        <f t="shared" si="4"/>
        <v>1174437</v>
      </c>
      <c r="I27" s="197">
        <f t="shared" si="4"/>
        <v>1300000</v>
      </c>
      <c r="J27" s="196"/>
      <c r="K27" s="196"/>
      <c r="L27" s="196"/>
      <c r="M27" s="196"/>
      <c r="N27" s="196"/>
      <c r="O27" s="196"/>
      <c r="P27" s="199">
        <f>SUM(F27:I27)</f>
        <v>6251313</v>
      </c>
      <c r="Q27" s="98"/>
    </row>
    <row r="28">
      <c r="A28" s="143"/>
      <c r="B28" s="200"/>
      <c r="C28" s="143"/>
      <c r="D28" s="143"/>
      <c r="E28" s="143"/>
      <c r="F28" s="144"/>
      <c r="G28" s="143"/>
      <c r="H28" s="143"/>
      <c r="I28" s="201"/>
      <c r="J28" s="201"/>
      <c r="K28" s="201"/>
      <c r="L28" s="201"/>
      <c r="M28" s="201"/>
      <c r="N28" s="201"/>
      <c r="O28" s="201"/>
      <c r="P28" s="201"/>
      <c r="Q28" s="201"/>
    </row>
    <row r="29">
      <c r="A29" s="143"/>
      <c r="B29" s="200"/>
      <c r="C29" s="202" t="s">
        <v>113</v>
      </c>
      <c r="D29" s="25"/>
      <c r="E29" s="25"/>
      <c r="F29" s="203"/>
      <c r="G29" s="204">
        <v>300000.0</v>
      </c>
      <c r="H29" s="205" t="s">
        <v>114</v>
      </c>
      <c r="I29" s="98"/>
      <c r="J29" s="206" t="s">
        <v>25</v>
      </c>
      <c r="K29" s="144"/>
      <c r="L29" s="201"/>
      <c r="M29" s="201"/>
      <c r="N29" s="201"/>
      <c r="O29" s="201"/>
      <c r="P29" s="201"/>
      <c r="Q29" s="201"/>
    </row>
    <row r="30">
      <c r="A30" s="201"/>
      <c r="B30" s="201"/>
      <c r="C30" s="207"/>
      <c r="F30" s="208"/>
      <c r="G30" s="204">
        <v>430000.0</v>
      </c>
      <c r="H30" s="209" t="s">
        <v>114</v>
      </c>
      <c r="I30" s="98"/>
      <c r="J30" s="204" t="s">
        <v>26</v>
      </c>
      <c r="K30" s="144"/>
      <c r="L30" s="144"/>
      <c r="M30" s="144"/>
      <c r="N30" s="144"/>
      <c r="O30" s="144"/>
      <c r="P30" s="144"/>
      <c r="Q30" s="144"/>
    </row>
    <row r="31">
      <c r="A31" s="143"/>
      <c r="B31" s="143"/>
      <c r="C31" s="210"/>
      <c r="D31" s="29"/>
      <c r="E31" s="29"/>
      <c r="F31" s="211"/>
      <c r="G31" s="212">
        <v>304437.0</v>
      </c>
      <c r="H31" s="213" t="s">
        <v>115</v>
      </c>
      <c r="I31" s="98"/>
      <c r="J31" s="214" t="s">
        <v>27</v>
      </c>
      <c r="K31" s="143"/>
      <c r="L31" s="143"/>
      <c r="M31" s="143"/>
      <c r="N31" s="143"/>
      <c r="O31" s="143"/>
      <c r="P31" s="143"/>
      <c r="Q31" s="143"/>
    </row>
    <row r="32">
      <c r="A32" s="143"/>
      <c r="B32" s="143"/>
      <c r="C32" s="215" t="s">
        <v>116</v>
      </c>
      <c r="D32" s="21"/>
      <c r="E32" s="21"/>
      <c r="F32" s="98"/>
      <c r="G32" s="216">
        <f>SUM(G29:G31)</f>
        <v>1034437</v>
      </c>
      <c r="H32" s="21"/>
      <c r="I32" s="21"/>
      <c r="J32" s="98"/>
      <c r="K32" s="143"/>
      <c r="L32" s="143"/>
      <c r="M32" s="143"/>
      <c r="N32" s="143"/>
      <c r="O32" s="143"/>
      <c r="P32" s="143"/>
      <c r="Q32" s="143"/>
    </row>
    <row r="33">
      <c r="A33" s="143"/>
      <c r="B33" s="143"/>
      <c r="C33" s="143"/>
      <c r="D33" s="143"/>
      <c r="E33" s="143"/>
      <c r="F33" s="144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</row>
    <row r="34">
      <c r="A34" s="143"/>
      <c r="B34" s="143"/>
      <c r="C34" s="143"/>
      <c r="D34" s="143"/>
      <c r="E34" s="143"/>
      <c r="F34" s="144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</row>
    <row r="35">
      <c r="A35" s="143"/>
      <c r="B35" s="143"/>
      <c r="C35" s="143"/>
      <c r="D35" s="143"/>
      <c r="E35" s="143"/>
      <c r="F35" s="144"/>
      <c r="G35" s="143"/>
      <c r="H35" s="143"/>
      <c r="I35" s="143"/>
      <c r="J35" s="143"/>
      <c r="K35" s="143"/>
      <c r="L35" s="143"/>
      <c r="M35" s="217"/>
      <c r="N35" s="144"/>
      <c r="O35" s="144"/>
      <c r="P35" s="143"/>
      <c r="Q35" s="143"/>
    </row>
    <row r="36">
      <c r="A36" s="143"/>
      <c r="B36" s="143"/>
      <c r="C36" s="143"/>
      <c r="D36" s="143"/>
      <c r="E36" s="143"/>
      <c r="F36" s="144"/>
      <c r="G36" s="143"/>
      <c r="H36" s="143"/>
      <c r="I36" s="143"/>
      <c r="J36" s="143"/>
      <c r="K36" s="143"/>
      <c r="L36" s="143"/>
      <c r="M36" s="217"/>
      <c r="N36" s="144"/>
      <c r="O36" s="144"/>
      <c r="P36" s="143"/>
      <c r="Q36" s="143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95" t="s">
        <v>59</v>
      </c>
      <c r="M37" s="96">
        <v>1.0</v>
      </c>
      <c r="N37" s="97">
        <v>1.5E7</v>
      </c>
      <c r="O37" s="98"/>
      <c r="P37" s="38"/>
      <c r="Q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</row>
  </sheetData>
  <mergeCells count="11">
    <mergeCell ref="C29:F31"/>
    <mergeCell ref="C32:F32"/>
    <mergeCell ref="G32:J32"/>
    <mergeCell ref="N37:O37"/>
    <mergeCell ref="B2:K2"/>
    <mergeCell ref="Q12:Q15"/>
    <mergeCell ref="A27:B27"/>
    <mergeCell ref="P27:Q27"/>
    <mergeCell ref="H29:I29"/>
    <mergeCell ref="H30:I30"/>
    <mergeCell ref="H31:I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5"/>
    <col customWidth="1" min="16" max="16" width="19.25"/>
  </cols>
  <sheetData>
    <row r="1">
      <c r="A1" s="189"/>
      <c r="B1" s="218"/>
      <c r="C1" s="21"/>
      <c r="D1" s="21"/>
      <c r="E1" s="21"/>
      <c r="F1" s="21"/>
      <c r="G1" s="21"/>
      <c r="H1" s="98"/>
      <c r="I1" s="189"/>
      <c r="J1" s="189"/>
      <c r="K1" s="219"/>
      <c r="L1" s="219"/>
      <c r="M1" s="219"/>
      <c r="N1" s="220"/>
      <c r="O1" s="189"/>
      <c r="P1" s="189"/>
    </row>
    <row r="2" ht="22.5" customHeight="1">
      <c r="A2" s="221" t="s">
        <v>83</v>
      </c>
      <c r="B2" s="221" t="s">
        <v>117</v>
      </c>
      <c r="C2" s="221" t="s">
        <v>118</v>
      </c>
      <c r="D2" s="221" t="s">
        <v>119</v>
      </c>
      <c r="E2" s="221" t="s">
        <v>120</v>
      </c>
      <c r="F2" s="221" t="s">
        <v>121</v>
      </c>
      <c r="G2" s="221" t="s">
        <v>122</v>
      </c>
      <c r="H2" s="221" t="s">
        <v>123</v>
      </c>
      <c r="I2" s="221" t="s">
        <v>124</v>
      </c>
      <c r="J2" s="222" t="s">
        <v>125</v>
      </c>
      <c r="K2" s="223" t="s">
        <v>126</v>
      </c>
      <c r="L2" s="224" t="s">
        <v>127</v>
      </c>
      <c r="M2" s="223" t="s">
        <v>128</v>
      </c>
      <c r="N2" s="225" t="s">
        <v>129</v>
      </c>
      <c r="O2" s="221" t="s">
        <v>130</v>
      </c>
      <c r="P2" s="226" t="s">
        <v>131</v>
      </c>
    </row>
    <row r="3" ht="22.5" customHeight="1">
      <c r="A3" s="227">
        <v>37.0</v>
      </c>
      <c r="B3" s="228" t="s">
        <v>132</v>
      </c>
      <c r="C3" s="229" t="s">
        <v>133</v>
      </c>
      <c r="D3" s="228" t="s">
        <v>134</v>
      </c>
      <c r="E3" s="228" t="s">
        <v>135</v>
      </c>
      <c r="F3" s="230" t="s">
        <v>136</v>
      </c>
      <c r="G3" s="231">
        <v>46245.0</v>
      </c>
      <c r="H3" s="232">
        <f t="shared" ref="H3:H4" si="1">G3-TODAY()</f>
        <v>50</v>
      </c>
      <c r="I3" s="233" t="s">
        <v>137</v>
      </c>
      <c r="J3" s="234" t="s">
        <v>138</v>
      </c>
      <c r="K3" s="235">
        <v>768817.05</v>
      </c>
      <c r="L3" s="236">
        <f t="shared" ref="L3:L4" si="2">K3/12</f>
        <v>64068.0875</v>
      </c>
      <c r="M3" s="237">
        <v>416552.9</v>
      </c>
      <c r="N3" s="228">
        <v>2026.0</v>
      </c>
      <c r="O3" s="238">
        <v>25350.9</v>
      </c>
      <c r="P3" s="239">
        <f>M3-O3</f>
        <v>391202</v>
      </c>
    </row>
    <row r="4" ht="22.5" customHeight="1">
      <c r="A4" s="227">
        <v>37.0</v>
      </c>
      <c r="B4" s="228" t="s">
        <v>132</v>
      </c>
      <c r="C4" s="229" t="s">
        <v>133</v>
      </c>
      <c r="D4" s="228" t="s">
        <v>139</v>
      </c>
      <c r="E4" s="228" t="s">
        <v>140</v>
      </c>
      <c r="F4" s="230" t="s">
        <v>136</v>
      </c>
      <c r="G4" s="231">
        <v>46266.0</v>
      </c>
      <c r="H4" s="232">
        <f t="shared" si="1"/>
        <v>71</v>
      </c>
      <c r="I4" s="233" t="s">
        <v>137</v>
      </c>
      <c r="J4" s="234" t="s">
        <v>141</v>
      </c>
      <c r="K4" s="240">
        <v>182366.01</v>
      </c>
      <c r="L4" s="236">
        <f t="shared" si="2"/>
        <v>15197.1675</v>
      </c>
      <c r="M4" s="241">
        <v>74500.0</v>
      </c>
      <c r="N4" s="228">
        <v>2025.0</v>
      </c>
      <c r="O4" s="242">
        <v>24716.67</v>
      </c>
      <c r="P4" s="243">
        <f t="shared" ref="P4:P8" si="3">K4-M4</f>
        <v>107866.01</v>
      </c>
    </row>
    <row r="5" ht="22.5" customHeight="1">
      <c r="A5" s="244">
        <v>37.0</v>
      </c>
      <c r="B5" s="245" t="s">
        <v>132</v>
      </c>
      <c r="C5" s="246" t="s">
        <v>142</v>
      </c>
      <c r="D5" s="245" t="s">
        <v>139</v>
      </c>
      <c r="E5" s="245" t="s">
        <v>143</v>
      </c>
      <c r="F5" s="246" t="s">
        <v>136</v>
      </c>
      <c r="G5" s="247">
        <v>46388.0</v>
      </c>
      <c r="H5" s="248">
        <v>206.0</v>
      </c>
      <c r="I5" s="249" t="s">
        <v>137</v>
      </c>
      <c r="J5" s="250" t="s">
        <v>141</v>
      </c>
      <c r="K5" s="251">
        <v>45591.48</v>
      </c>
      <c r="L5" s="252">
        <v>3799.29</v>
      </c>
      <c r="M5" s="253"/>
      <c r="N5" s="254"/>
      <c r="O5" s="255"/>
      <c r="P5" s="239">
        <f t="shared" si="3"/>
        <v>45591.48</v>
      </c>
    </row>
    <row r="6" ht="22.5" customHeight="1">
      <c r="A6" s="244">
        <v>37.0</v>
      </c>
      <c r="B6" s="256">
        <v>46082.0</v>
      </c>
      <c r="C6" s="257" t="s">
        <v>133</v>
      </c>
      <c r="D6" s="245" t="s">
        <v>139</v>
      </c>
      <c r="E6" s="258" t="s">
        <v>144</v>
      </c>
      <c r="F6" s="259" t="s">
        <v>136</v>
      </c>
      <c r="G6" s="260">
        <v>46491.0</v>
      </c>
      <c r="H6" s="248">
        <v>309.0</v>
      </c>
      <c r="I6" s="261" t="s">
        <v>145</v>
      </c>
      <c r="J6" s="262" t="s">
        <v>146</v>
      </c>
      <c r="K6" s="251">
        <v>45591.48</v>
      </c>
      <c r="L6" s="252">
        <f t="shared" ref="L6:L22" si="4">K6/12</f>
        <v>3799.29</v>
      </c>
      <c r="M6" s="253"/>
      <c r="N6" s="254"/>
      <c r="O6" s="255"/>
      <c r="P6" s="239">
        <f t="shared" si="3"/>
        <v>45591.48</v>
      </c>
    </row>
    <row r="7" ht="22.5" customHeight="1">
      <c r="A7" s="263">
        <v>37.0</v>
      </c>
      <c r="B7" s="264">
        <v>46082.0</v>
      </c>
      <c r="C7" s="265" t="s">
        <v>133</v>
      </c>
      <c r="D7" s="266" t="s">
        <v>139</v>
      </c>
      <c r="E7" s="267" t="s">
        <v>147</v>
      </c>
      <c r="F7" s="268" t="s">
        <v>136</v>
      </c>
      <c r="G7" s="269">
        <v>46491.0</v>
      </c>
      <c r="H7" s="270">
        <v>309.0</v>
      </c>
      <c r="I7" s="271" t="s">
        <v>145</v>
      </c>
      <c r="J7" s="228" t="s">
        <v>148</v>
      </c>
      <c r="K7" s="251">
        <v>62499.99</v>
      </c>
      <c r="L7" s="272">
        <f t="shared" si="4"/>
        <v>5208.3325</v>
      </c>
      <c r="M7" s="273"/>
      <c r="N7" s="274"/>
      <c r="O7" s="275"/>
      <c r="P7" s="276">
        <f t="shared" si="3"/>
        <v>62499.99</v>
      </c>
    </row>
    <row r="8" ht="22.5" customHeight="1">
      <c r="A8" s="277">
        <v>37.0</v>
      </c>
      <c r="B8" s="278" t="s">
        <v>149</v>
      </c>
      <c r="C8" s="279" t="s">
        <v>133</v>
      </c>
      <c r="D8" s="280" t="s">
        <v>150</v>
      </c>
      <c r="E8" s="280" t="s">
        <v>151</v>
      </c>
      <c r="F8" s="281"/>
      <c r="G8" s="282"/>
      <c r="H8" s="283"/>
      <c r="I8" s="284"/>
      <c r="J8" s="280" t="s">
        <v>152</v>
      </c>
      <c r="K8" s="285">
        <v>82783.68</v>
      </c>
      <c r="L8" s="236">
        <f t="shared" si="4"/>
        <v>6898.64</v>
      </c>
      <c r="M8" s="241">
        <v>49817.58</v>
      </c>
      <c r="N8" s="262">
        <v>2026.0</v>
      </c>
      <c r="O8" s="238" t="s">
        <v>153</v>
      </c>
      <c r="P8" s="239">
        <f t="shared" si="3"/>
        <v>32966.1</v>
      </c>
    </row>
    <row r="9" ht="22.5" customHeight="1">
      <c r="A9" s="286">
        <v>39.0</v>
      </c>
      <c r="B9" s="287" t="s">
        <v>154</v>
      </c>
      <c r="C9" s="288" t="s">
        <v>155</v>
      </c>
      <c r="D9" s="287" t="s">
        <v>156</v>
      </c>
      <c r="E9" s="289" t="s">
        <v>157</v>
      </c>
      <c r="F9" s="290" t="s">
        <v>136</v>
      </c>
      <c r="G9" s="291">
        <v>46190.0</v>
      </c>
      <c r="H9" s="292">
        <v>15.0</v>
      </c>
      <c r="I9" s="293" t="s">
        <v>158</v>
      </c>
      <c r="J9" s="294" t="s">
        <v>159</v>
      </c>
      <c r="K9" s="295">
        <v>1500.0</v>
      </c>
      <c r="L9" s="236">
        <f t="shared" si="4"/>
        <v>125</v>
      </c>
      <c r="M9" s="241">
        <v>1500.0</v>
      </c>
      <c r="N9" s="228">
        <v>2025.0</v>
      </c>
      <c r="O9" s="238">
        <v>0.0</v>
      </c>
      <c r="P9" s="239">
        <v>1500.0</v>
      </c>
    </row>
    <row r="10" ht="22.5" customHeight="1">
      <c r="A10" s="228">
        <v>39.0</v>
      </c>
      <c r="B10" s="296" t="s">
        <v>160</v>
      </c>
      <c r="C10" s="297" t="s">
        <v>161</v>
      </c>
      <c r="D10" s="296" t="s">
        <v>162</v>
      </c>
      <c r="E10" s="296" t="s">
        <v>163</v>
      </c>
      <c r="F10" s="298" t="s">
        <v>164</v>
      </c>
      <c r="G10" s="299">
        <v>46387.0</v>
      </c>
      <c r="H10" s="300">
        <f t="shared" ref="H10:H13" si="5">G10-TODAY()</f>
        <v>192</v>
      </c>
      <c r="I10" s="301" t="s">
        <v>165</v>
      </c>
      <c r="J10" s="302" t="s">
        <v>166</v>
      </c>
      <c r="K10" s="303">
        <v>1072006.0</v>
      </c>
      <c r="L10" s="236">
        <f t="shared" si="4"/>
        <v>89333.83333</v>
      </c>
      <c r="M10" s="241">
        <v>1072006.0</v>
      </c>
      <c r="N10" s="228">
        <v>2023.0</v>
      </c>
      <c r="O10" s="238">
        <v>589885.77</v>
      </c>
      <c r="P10" s="304" t="s">
        <v>167</v>
      </c>
    </row>
    <row r="11" ht="22.5" customHeight="1">
      <c r="A11" s="228">
        <v>39.0</v>
      </c>
      <c r="B11" s="228" t="s">
        <v>168</v>
      </c>
      <c r="C11" s="229" t="s">
        <v>133</v>
      </c>
      <c r="D11" s="228" t="s">
        <v>169</v>
      </c>
      <c r="E11" s="228" t="s">
        <v>170</v>
      </c>
      <c r="F11" s="230" t="s">
        <v>171</v>
      </c>
      <c r="G11" s="231">
        <v>46357.0</v>
      </c>
      <c r="H11" s="232">
        <f t="shared" si="5"/>
        <v>162</v>
      </c>
      <c r="I11" s="305" t="s">
        <v>172</v>
      </c>
      <c r="J11" s="274"/>
      <c r="K11" s="306">
        <v>499194.0</v>
      </c>
      <c r="L11" s="236">
        <f t="shared" si="4"/>
        <v>41599.5</v>
      </c>
      <c r="M11" s="241">
        <v>100000.0</v>
      </c>
      <c r="N11" s="228" t="s">
        <v>173</v>
      </c>
      <c r="O11" s="238">
        <v>71314.19</v>
      </c>
      <c r="P11" s="239">
        <f>K11-M11</f>
        <v>399194</v>
      </c>
    </row>
    <row r="12" ht="22.5" customHeight="1">
      <c r="A12" s="228">
        <v>39.0</v>
      </c>
      <c r="B12" s="228" t="s">
        <v>174</v>
      </c>
      <c r="C12" s="229" t="s">
        <v>142</v>
      </c>
      <c r="D12" s="307" t="s">
        <v>175</v>
      </c>
      <c r="E12" s="228" t="s">
        <v>176</v>
      </c>
      <c r="F12" s="230" t="s">
        <v>177</v>
      </c>
      <c r="G12" s="231">
        <v>46388.0</v>
      </c>
      <c r="H12" s="232">
        <f t="shared" si="5"/>
        <v>193</v>
      </c>
      <c r="I12" s="305" t="s">
        <v>178</v>
      </c>
      <c r="J12" s="308" t="s">
        <v>179</v>
      </c>
      <c r="K12" s="309">
        <v>41249.95</v>
      </c>
      <c r="L12" s="236">
        <f t="shared" si="4"/>
        <v>3437.495833</v>
      </c>
      <c r="M12" s="241">
        <v>41249.95</v>
      </c>
      <c r="N12" s="310">
        <v>2026.0</v>
      </c>
      <c r="O12" s="238">
        <v>26590.08</v>
      </c>
      <c r="P12" s="304" t="s">
        <v>180</v>
      </c>
    </row>
    <row r="13" ht="22.5" customHeight="1">
      <c r="A13" s="311">
        <v>39.0</v>
      </c>
      <c r="B13" s="312">
        <v>46168.0</v>
      </c>
      <c r="C13" s="313" t="s">
        <v>155</v>
      </c>
      <c r="D13" s="314" t="s">
        <v>181</v>
      </c>
      <c r="E13" s="314" t="s">
        <v>182</v>
      </c>
      <c r="F13" s="315" t="s">
        <v>136</v>
      </c>
      <c r="G13" s="316">
        <v>46525.0</v>
      </c>
      <c r="H13" s="317">
        <f t="shared" si="5"/>
        <v>330</v>
      </c>
      <c r="I13" s="318" t="s">
        <v>183</v>
      </c>
      <c r="J13" s="319" t="s">
        <v>184</v>
      </c>
      <c r="K13" s="320">
        <v>2988.0</v>
      </c>
      <c r="L13" s="236">
        <f t="shared" si="4"/>
        <v>249</v>
      </c>
      <c r="M13" s="321">
        <v>2988.0</v>
      </c>
      <c r="N13" s="311" t="s">
        <v>185</v>
      </c>
      <c r="O13" s="322">
        <v>2988.0</v>
      </c>
      <c r="P13" s="323" t="s">
        <v>180</v>
      </c>
    </row>
    <row r="14" ht="22.5" customHeight="1">
      <c r="A14" s="324">
        <v>39.0</v>
      </c>
      <c r="B14" s="287" t="s">
        <v>186</v>
      </c>
      <c r="C14" s="290" t="s">
        <v>155</v>
      </c>
      <c r="D14" s="325" t="s">
        <v>187</v>
      </c>
      <c r="E14" s="325" t="s">
        <v>188</v>
      </c>
      <c r="F14" s="326" t="s">
        <v>189</v>
      </c>
      <c r="G14" s="327">
        <v>46192.0</v>
      </c>
      <c r="H14" s="292">
        <v>17.0</v>
      </c>
      <c r="I14" s="328" t="s">
        <v>190</v>
      </c>
      <c r="J14" s="329" t="s">
        <v>191</v>
      </c>
      <c r="K14" s="295">
        <v>2434.86</v>
      </c>
      <c r="L14" s="236">
        <f t="shared" si="4"/>
        <v>202.905</v>
      </c>
      <c r="M14" s="330">
        <v>2400.0</v>
      </c>
      <c r="N14" s="324">
        <v>2025.0</v>
      </c>
      <c r="O14" s="331">
        <v>600.0</v>
      </c>
      <c r="P14" s="332">
        <f>K14-O14</f>
        <v>1834.86</v>
      </c>
    </row>
    <row r="15" ht="22.5" customHeight="1">
      <c r="A15" s="296">
        <v>39.0</v>
      </c>
      <c r="B15" s="296" t="s">
        <v>192</v>
      </c>
      <c r="C15" s="297" t="s">
        <v>133</v>
      </c>
      <c r="D15" s="296" t="s">
        <v>193</v>
      </c>
      <c r="E15" s="296" t="s">
        <v>194</v>
      </c>
      <c r="F15" s="298" t="s">
        <v>195</v>
      </c>
      <c r="G15" s="299">
        <v>46523.0</v>
      </c>
      <c r="H15" s="300">
        <f t="shared" ref="H15:H23" si="6">G15-TODAY()</f>
        <v>328</v>
      </c>
      <c r="I15" s="301" t="s">
        <v>196</v>
      </c>
      <c r="J15" s="302" t="s">
        <v>197</v>
      </c>
      <c r="K15" s="333">
        <v>32379.0</v>
      </c>
      <c r="L15" s="236">
        <f t="shared" si="4"/>
        <v>2698.25</v>
      </c>
      <c r="M15" s="334">
        <v>3244.44</v>
      </c>
      <c r="N15" s="296" t="s">
        <v>198</v>
      </c>
      <c r="O15" s="335">
        <v>16189.5</v>
      </c>
      <c r="P15" s="336">
        <f t="shared" ref="P15:P16" si="7">K15-M15</f>
        <v>29134.56</v>
      </c>
    </row>
    <row r="16" ht="22.5" customHeight="1">
      <c r="A16" s="228">
        <v>39.0</v>
      </c>
      <c r="B16" s="228" t="s">
        <v>192</v>
      </c>
      <c r="C16" s="229" t="s">
        <v>133</v>
      </c>
      <c r="D16" s="228" t="s">
        <v>199</v>
      </c>
      <c r="E16" s="228" t="s">
        <v>194</v>
      </c>
      <c r="F16" s="230" t="s">
        <v>195</v>
      </c>
      <c r="G16" s="231">
        <v>46523.0</v>
      </c>
      <c r="H16" s="232">
        <f t="shared" si="6"/>
        <v>328</v>
      </c>
      <c r="I16" s="233" t="s">
        <v>196</v>
      </c>
      <c r="J16" s="234" t="s">
        <v>200</v>
      </c>
      <c r="K16" s="240">
        <v>6215.0</v>
      </c>
      <c r="L16" s="236">
        <f t="shared" si="4"/>
        <v>517.9166667</v>
      </c>
      <c r="M16" s="241">
        <v>4215.0</v>
      </c>
      <c r="N16" s="228">
        <v>2026.0</v>
      </c>
      <c r="O16" s="337">
        <v>4215.0</v>
      </c>
      <c r="P16" s="338">
        <f t="shared" si="7"/>
        <v>2000</v>
      </c>
    </row>
    <row r="17" ht="22.5" customHeight="1">
      <c r="A17" s="228">
        <v>39.0</v>
      </c>
      <c r="B17" s="228" t="s">
        <v>192</v>
      </c>
      <c r="C17" s="229" t="s">
        <v>133</v>
      </c>
      <c r="D17" s="228" t="s">
        <v>201</v>
      </c>
      <c r="E17" s="228" t="s">
        <v>194</v>
      </c>
      <c r="F17" s="230" t="s">
        <v>195</v>
      </c>
      <c r="G17" s="231">
        <v>46523.0</v>
      </c>
      <c r="H17" s="232">
        <f t="shared" si="6"/>
        <v>328</v>
      </c>
      <c r="I17" s="233" t="s">
        <v>196</v>
      </c>
      <c r="J17" s="234" t="s">
        <v>202</v>
      </c>
      <c r="K17" s="240">
        <v>31498.0</v>
      </c>
      <c r="L17" s="236">
        <f t="shared" si="4"/>
        <v>2624.833333</v>
      </c>
      <c r="M17" s="241">
        <v>15749.0</v>
      </c>
      <c r="N17" s="228">
        <v>2023.0</v>
      </c>
      <c r="O17" s="238">
        <v>0.0</v>
      </c>
      <c r="P17" s="239">
        <v>31498.0</v>
      </c>
    </row>
    <row r="18" ht="22.5" customHeight="1">
      <c r="A18" s="228">
        <v>39.0</v>
      </c>
      <c r="B18" s="228" t="s">
        <v>203</v>
      </c>
      <c r="C18" s="229" t="s">
        <v>155</v>
      </c>
      <c r="D18" s="228" t="s">
        <v>204</v>
      </c>
      <c r="E18" s="228" t="s">
        <v>205</v>
      </c>
      <c r="F18" s="230" t="s">
        <v>136</v>
      </c>
      <c r="G18" s="231">
        <v>46239.0</v>
      </c>
      <c r="H18" s="232">
        <f t="shared" si="6"/>
        <v>44</v>
      </c>
      <c r="I18" s="233" t="s">
        <v>206</v>
      </c>
      <c r="J18" s="234" t="s">
        <v>207</v>
      </c>
      <c r="K18" s="240">
        <v>39828.0</v>
      </c>
      <c r="L18" s="236">
        <f t="shared" si="4"/>
        <v>3319</v>
      </c>
      <c r="M18" s="241">
        <v>32040.74</v>
      </c>
      <c r="N18" s="228">
        <v>2026.0</v>
      </c>
      <c r="O18" s="337">
        <v>8609.64</v>
      </c>
      <c r="P18" s="304" t="s">
        <v>208</v>
      </c>
    </row>
    <row r="19" ht="22.5" customHeight="1">
      <c r="A19" s="227">
        <v>40.0</v>
      </c>
      <c r="B19" s="228" t="s">
        <v>209</v>
      </c>
      <c r="C19" s="229" t="s">
        <v>133</v>
      </c>
      <c r="D19" s="228" t="s">
        <v>210</v>
      </c>
      <c r="E19" s="228" t="s">
        <v>211</v>
      </c>
      <c r="F19" s="230" t="s">
        <v>212</v>
      </c>
      <c r="G19" s="339">
        <v>46503.0</v>
      </c>
      <c r="H19" s="232">
        <f t="shared" si="6"/>
        <v>308</v>
      </c>
      <c r="I19" s="233" t="s">
        <v>213</v>
      </c>
      <c r="J19" s="234" t="s">
        <v>214</v>
      </c>
      <c r="K19" s="340">
        <v>23000.0</v>
      </c>
      <c r="L19" s="236">
        <f t="shared" si="4"/>
        <v>1916.666667</v>
      </c>
      <c r="M19" s="241">
        <v>1916.0</v>
      </c>
      <c r="N19" s="228">
        <v>2025.0</v>
      </c>
      <c r="O19" s="337" t="s">
        <v>215</v>
      </c>
      <c r="P19" s="341">
        <f>K19-M19</f>
        <v>21084</v>
      </c>
    </row>
    <row r="20" ht="22.5" customHeight="1">
      <c r="A20" s="227">
        <v>40.0</v>
      </c>
      <c r="B20" s="228" t="s">
        <v>216</v>
      </c>
      <c r="C20" s="229" t="s">
        <v>155</v>
      </c>
      <c r="D20" s="228" t="s">
        <v>217</v>
      </c>
      <c r="E20" s="228" t="s">
        <v>218</v>
      </c>
      <c r="F20" s="230" t="s">
        <v>164</v>
      </c>
      <c r="G20" s="231">
        <v>46537.0</v>
      </c>
      <c r="H20" s="232">
        <f t="shared" si="6"/>
        <v>342</v>
      </c>
      <c r="I20" s="233" t="s">
        <v>219</v>
      </c>
      <c r="J20" s="234" t="s">
        <v>220</v>
      </c>
      <c r="K20" s="309">
        <v>2000.0</v>
      </c>
      <c r="L20" s="236">
        <f t="shared" si="4"/>
        <v>166.6666667</v>
      </c>
      <c r="M20" s="241">
        <v>2000.0</v>
      </c>
      <c r="N20" s="228">
        <v>2025.0</v>
      </c>
      <c r="O20" s="337">
        <v>910.9</v>
      </c>
      <c r="P20" s="342" t="s">
        <v>180</v>
      </c>
    </row>
    <row r="21" ht="22.5" customHeight="1">
      <c r="A21" s="227">
        <v>40.0</v>
      </c>
      <c r="B21" s="228" t="s">
        <v>221</v>
      </c>
      <c r="C21" s="229" t="s">
        <v>222</v>
      </c>
      <c r="D21" s="228" t="s">
        <v>223</v>
      </c>
      <c r="E21" s="228" t="s">
        <v>224</v>
      </c>
      <c r="F21" s="230" t="s">
        <v>136</v>
      </c>
      <c r="G21" s="231">
        <v>46239.0</v>
      </c>
      <c r="H21" s="232">
        <f t="shared" si="6"/>
        <v>44</v>
      </c>
      <c r="I21" s="233" t="s">
        <v>225</v>
      </c>
      <c r="J21" s="234" t="s">
        <v>226</v>
      </c>
      <c r="K21" s="343">
        <v>3300.0</v>
      </c>
      <c r="L21" s="236">
        <f t="shared" si="4"/>
        <v>275</v>
      </c>
      <c r="M21" s="241">
        <v>3300.0</v>
      </c>
      <c r="N21" s="228">
        <v>2025.0</v>
      </c>
      <c r="O21" s="337">
        <v>550.0</v>
      </c>
      <c r="P21" s="342" t="s">
        <v>180</v>
      </c>
    </row>
    <row r="22" ht="22.5" customHeight="1">
      <c r="A22" s="227">
        <v>40.0</v>
      </c>
      <c r="B22" s="228" t="s">
        <v>227</v>
      </c>
      <c r="C22" s="229" t="s">
        <v>228</v>
      </c>
      <c r="D22" s="228" t="s">
        <v>229</v>
      </c>
      <c r="E22" s="228" t="s">
        <v>230</v>
      </c>
      <c r="F22" s="230" t="s">
        <v>136</v>
      </c>
      <c r="G22" s="231">
        <v>46444.0</v>
      </c>
      <c r="H22" s="232">
        <f t="shared" si="6"/>
        <v>249</v>
      </c>
      <c r="I22" s="233" t="s">
        <v>231</v>
      </c>
      <c r="J22" s="344" t="s">
        <v>232</v>
      </c>
      <c r="K22" s="345">
        <v>18000.0</v>
      </c>
      <c r="L22" s="346">
        <f t="shared" si="4"/>
        <v>1500</v>
      </c>
      <c r="M22" s="241">
        <v>18000.0</v>
      </c>
      <c r="N22" s="310">
        <v>2026.0</v>
      </c>
      <c r="O22" s="238">
        <v>16778.85</v>
      </c>
      <c r="P22" s="304" t="s">
        <v>180</v>
      </c>
    </row>
    <row r="23" ht="22.5" customHeight="1">
      <c r="A23" s="274"/>
      <c r="B23" s="228" t="s">
        <v>233</v>
      </c>
      <c r="C23" s="229" t="s">
        <v>228</v>
      </c>
      <c r="D23" s="228" t="s">
        <v>234</v>
      </c>
      <c r="E23" s="228" t="s">
        <v>211</v>
      </c>
      <c r="F23" s="230" t="s">
        <v>136</v>
      </c>
      <c r="G23" s="339">
        <v>46291.0</v>
      </c>
      <c r="H23" s="232">
        <f t="shared" si="6"/>
        <v>96</v>
      </c>
      <c r="I23" s="233" t="s">
        <v>235</v>
      </c>
      <c r="J23" s="347" t="s">
        <v>236</v>
      </c>
      <c r="K23" s="348" t="s">
        <v>237</v>
      </c>
      <c r="L23" s="349"/>
      <c r="M23" s="237" t="s">
        <v>63</v>
      </c>
      <c r="N23" s="228">
        <v>2025.0</v>
      </c>
      <c r="O23" s="275"/>
      <c r="P23" s="275"/>
    </row>
    <row r="24" ht="22.5" customHeight="1">
      <c r="A24" s="350"/>
      <c r="B24" s="351"/>
      <c r="C24" s="352"/>
      <c r="D24" s="351"/>
      <c r="E24" s="351"/>
      <c r="F24" s="352"/>
      <c r="G24" s="353"/>
      <c r="H24" s="354"/>
      <c r="I24" s="355"/>
      <c r="J24" s="351"/>
      <c r="K24" s="356"/>
      <c r="L24" s="356"/>
      <c r="M24" s="356"/>
      <c r="N24" s="351"/>
      <c r="O24" s="238" t="s">
        <v>59</v>
      </c>
      <c r="P24" s="239">
        <f>SUM(P3:P22)</f>
        <v>1171962.48</v>
      </c>
    </row>
    <row r="25" ht="22.5" customHeight="1">
      <c r="A25" s="350"/>
      <c r="B25" s="351"/>
      <c r="C25" s="352"/>
      <c r="D25" s="351"/>
      <c r="E25" s="351"/>
      <c r="F25" s="352"/>
      <c r="G25" s="353"/>
      <c r="H25" s="357" t="s">
        <v>83</v>
      </c>
      <c r="I25" s="358" t="s">
        <v>131</v>
      </c>
      <c r="J25" s="359" t="s">
        <v>238</v>
      </c>
      <c r="K25" s="356"/>
      <c r="L25" s="356"/>
      <c r="M25" s="356"/>
      <c r="N25" s="351"/>
      <c r="O25" s="355"/>
      <c r="P25" s="360"/>
    </row>
    <row r="26" ht="22.5" customHeight="1">
      <c r="A26" s="350"/>
      <c r="B26" s="351"/>
      <c r="C26" s="352"/>
      <c r="D26" s="351"/>
      <c r="E26" s="351"/>
      <c r="F26" s="352"/>
      <c r="G26" s="353"/>
      <c r="H26" s="361">
        <v>37.0</v>
      </c>
      <c r="I26" s="362">
        <v>577625.59</v>
      </c>
      <c r="J26" s="235">
        <f>K3+K4+K8</f>
        <v>1033966.74</v>
      </c>
      <c r="K26" s="356"/>
      <c r="L26" s="356"/>
      <c r="M26" s="356"/>
      <c r="N26" s="351"/>
      <c r="O26" s="355"/>
      <c r="P26" s="360"/>
    </row>
    <row r="27" ht="22.5" customHeight="1">
      <c r="A27" s="350"/>
      <c r="B27" s="351"/>
      <c r="C27" s="352"/>
      <c r="D27" s="351"/>
      <c r="E27" s="351"/>
      <c r="F27" s="352"/>
      <c r="G27" s="353"/>
      <c r="H27" s="363">
        <v>39.0</v>
      </c>
      <c r="I27" s="364">
        <v>455161.42</v>
      </c>
      <c r="J27" s="365">
        <f>K9+K10+K11+K12+K13+K14+K15+K16+K17+K18</f>
        <v>1729292.81</v>
      </c>
      <c r="K27" s="356"/>
      <c r="L27" s="356"/>
      <c r="M27" s="356"/>
      <c r="N27" s="351"/>
      <c r="O27" s="355"/>
      <c r="P27" s="360"/>
    </row>
    <row r="28" ht="22.5" customHeight="1">
      <c r="A28" s="366"/>
      <c r="B28" s="367"/>
      <c r="C28" s="368"/>
      <c r="D28" s="367"/>
      <c r="E28" s="367"/>
      <c r="F28" s="368"/>
      <c r="G28" s="369"/>
      <c r="H28" s="361">
        <v>40.0</v>
      </c>
      <c r="I28" s="362">
        <v>21084.0</v>
      </c>
      <c r="J28" s="235">
        <f>K19+K20+K21+K22</f>
        <v>46300</v>
      </c>
      <c r="K28" s="370"/>
      <c r="L28" s="370"/>
      <c r="M28" s="370"/>
      <c r="N28" s="367"/>
      <c r="O28" s="371"/>
      <c r="P28" s="372"/>
    </row>
  </sheetData>
  <mergeCells count="1">
    <mergeCell ref="B1:H1"/>
  </mergeCells>
  <dataValidations>
    <dataValidation type="custom" allowBlank="1" showDropDown="1" sqref="G3:G28">
      <formula1>OR(NOT(ISERROR(DATEVALUE(G3))), AND(ISNUMBER(G3), LEFT(CELL("format", G3))="D"))</formula1>
    </dataValidation>
    <dataValidation type="list" allowBlank="1" showDropDown="1" sqref="F3:F28">
      <formula1>"1º Termo Aditivo,1º termo aditivo,2º Termo Aditivo,3º TERMO ADITIVO,3º Termo Aditivo,3º Termo Aditivo (Não tem interesse),4° TERMO ADITIVO,5º Termo Aditivo,CONTRATO,7º TERMO ADITIVO"</formula1>
    </dataValidation>
    <dataValidation type="list" allowBlank="1" showDropDown="1" sqref="C3:C28">
      <formula1>"CONT. DIRETA,COTEP,PREGÃO,PREGÂO ,RP,INEXIGIBILIDADE"</formula1>
    </dataValidation>
    <dataValidation type="custom" allowBlank="1" showDropDown="1" sqref="H3:I28 O3:O28">
      <formula1>AND(ISNUMBER(H3),(NOT(OR(NOT(ISERROR(DATEVALUE(H3))), AND(ISNUMBER(H3), LEFT(CELL("format", H3))="D")))))</formula1>
    </dataValidation>
  </dataValidations>
  <drawing r:id="rId1"/>
  <tableParts count="1">
    <tablePart r:id="rId3"/>
  </tableParts>
</worksheet>
</file>